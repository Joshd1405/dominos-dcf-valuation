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b6c289d67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6f8c71c5cf9a4039"/>
    <x:sheet xmlns:r="http://schemas.openxmlformats.org/officeDocument/2006/relationships" name="Income Statement" sheetId="2" r:id="R79bf8a324a264c69"/>
    <x:sheet xmlns:r="http://schemas.openxmlformats.org/officeDocument/2006/relationships" name="Balance Sheet" sheetId="3" r:id="R2a76d0cb7cf6429b"/>
    <x:sheet xmlns:r="http://schemas.openxmlformats.org/officeDocument/2006/relationships" name="Cash Flow" sheetId="4" r:id="Rca650671b232443a"/>
    <x:sheet xmlns:r="http://schemas.openxmlformats.org/officeDocument/2006/relationships" name="DCF" sheetId="5" r:id="R539ff1016f7d45ae"/>
    <x:sheet xmlns:r="http://schemas.openxmlformats.org/officeDocument/2006/relationships" name="Sensitivity" sheetId="6" r:id="Rdd84264c540c47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[Red](#,##0.0);–"/>
    <x:numFmt numFmtId="201" formatCode="0.00%"/>
    <x:numFmt numFmtId="202" formatCode="0.0&quot;p&quot;"/>
    <x:numFmt numFmtId="203" formatCode="0.00%;[Red](0.00%)"/>
    <x:numFmt numFmtId="204" formatCode="0.0%"/>
    <x:numFmt numFmtId="205" formatCode="#,##0.00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02942"/>
      <x:name val="Carlito"/>
    </x:font>
    <x:font>
      <x:b/>
      <x:sz val="11"/>
      <x:color rgb="FF155E4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02942"/>
      </x:patternFill>
    </x:fill>
    <x:fill>
      <x:patternFill patternType="solid">
        <x:fgColor rgb="FFE5EDF5"/>
      </x:patternFill>
    </x:fill>
    <x:fill>
      <x:patternFill patternType="solid">
        <x:fgColor rgb="FF16324F"/>
      </x:patternFill>
    </x:fill>
    <x:fill>
      <x:patternFill patternType="solid">
        <x:fgColor rgb="FFD6F1E7"/>
      </x:patternFill>
    </x:fill>
    <x:fill>
      <x:patternFill patternType="solid">
        <x:fgColor rgb="FF16324F"/>
      </x:patternFill>
    </x:fill>
    <x:fill>
      <x:patternFill patternType="solid">
        <x:fgColor rgb="FFE5EDF5"/>
      </x:patternFill>
    </x:fill>
    <x:fill>
      <x:patternFill patternType="solid">
        <x:fgColor rgb="FF183B68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1" fillId="4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0" fontId="1" fillId="4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200" fontId="1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5" borderId="0" xfId="0" applyNumberFormat="1" applyFont="1" applyFill="1" applyBorder="1" applyAlignment="1">
      <x:alignment wrapText="1"/>
    </x:xf>
    <x:xf numFmtId="201" fontId="3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1" fontId="3" fillId="5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/>
    <x:xf numFmtId="200" fontId="3" fillId="5" borderId="0" xfId="0" applyNumberFormat="1" applyFont="1" applyFill="1" applyBorder="1"/>
    <x:xf numFmtId="200" fontId="0" fillId="5" borderId="1" xfId="0" applyNumberFormat="1" applyFont="1" applyFill="1" applyBorder="1"/>
    <x:xf numFmtId="200" fontId="3" fillId="5" borderId="1" xfId="0" applyNumberFormat="1" applyFont="1" applyFill="1" applyBorder="1"/>
    <x:xf numFmtId="200" fontId="0" fillId="5" borderId="0" xfId="0" applyNumberFormat="1" applyFont="1" applyFill="1" applyBorder="1" applyAlignment="1">
      <x:alignment wrapText="1"/>
    </x:xf>
    <x:xf numFmtId="200" fontId="3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0" fontId="3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205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d7ee9908045b7" /><Relationship Type="http://schemas.openxmlformats.org/officeDocument/2006/relationships/theme" Target="/xl/theme/theme1.xml" Id="Rd10b9f7e03794eb8" /><Relationship Type="http://schemas.openxmlformats.org/officeDocument/2006/relationships/sharedStrings" Target="/xl/sharedStrings.xml" Id="R67809d168f424ed9" /><Relationship Type="http://schemas.openxmlformats.org/officeDocument/2006/relationships/worksheet" Target="/xl/worksheets/sheet1.xml" Id="R6f8c71c5cf9a4039" /><Relationship Type="http://schemas.openxmlformats.org/officeDocument/2006/relationships/worksheet" Target="/xl/worksheets/sheet2.xml" Id="R79bf8a324a264c69" /><Relationship Type="http://schemas.openxmlformats.org/officeDocument/2006/relationships/worksheet" Target="/xl/worksheets/sheet3.xml" Id="R2a76d0cb7cf6429b" /><Relationship Type="http://schemas.openxmlformats.org/officeDocument/2006/relationships/worksheet" Target="/xl/worksheets/sheet4.xml" Id="Rca650671b232443a" /><Relationship Type="http://schemas.openxmlformats.org/officeDocument/2006/relationships/worksheet" Target="/xl/worksheets/sheet5.xml" Id="R539ff1016f7d45ae" /><Relationship Type="http://schemas.openxmlformats.org/officeDocument/2006/relationships/worksheet" Target="/xl/worksheets/sheet6.xml" Id="Rdd84264c540c47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58" hidden="0" customWidth="1"/>
    <x:col min="2" max="2" width="17" hidden="0" customWidth="1"/>
    <x:col min="3" max="3" width="36" hidden="0" customWidth="1"/>
    <x:col min="4" max="4" width="23" hidden="0" customWidth="1"/>
    <x:col min="5" max="5" width="54" hidden="0" customWidth="1"/>
    <x:col min="6" max="6" width="20" hidden="0" customWidth="1"/>
    <x:col min="7" max="7" width="30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3" max="13" width="53" hidden="0" customWidth="1"/>
    <x:col min="14" max="14" width="21" hidden="0" customWidth="1"/>
    <x:col min="15" max="15" width="76" hidden="0" customWidth="1"/>
  </x:cols>
  <x:sheetData>
    <x:row r="1" ht="29" customHeight="1">
      <x:c r="A1" s="3" t="str">
        <x:v>DOMINO’S PIZZA GROUP | VALUATION ASSUMPTIONS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1" customHeight="1">
      <x:c r="A2" s="3" t="str">
        <x:v>Domino’s Pizza Group plc | GBP millions, except per-share data and percentages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 ht="23" customHeight="1">
      <x:c r="A4" s="11" t="str">
        <x:v>MODEL PARAMETERS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t="str">
        <x:v>Reference reporting date</x:v>
      </x:c>
      <x:c r="B5" s="16" t="str">
        <x:v>28 Dec 2025</x:v>
      </x:c>
      <x:c r="C5" s="16"/>
      <x:c r="D5" s="16"/>
      <x:c r="E5" s="16"/>
      <x:c r="F5" s="16"/>
      <x:c r="G5" s="16"/>
      <x:c r="H5" s="16"/>
      <x:c r="I5" s="16"/>
      <x:c r="J5" s="16"/>
      <x:c r="K5" s="16"/>
    </x:row>
    <x:row r="6">
      <x:c r="A6" t="str">
        <x:v>Last quoted market reference</x:v>
      </x:c>
      <x:c r="B6" s="16" t="str">
        <x:v>24 Dec 2025</x:v>
      </x:c>
      <x:c r="C6" s="16"/>
      <x:c r="D6" s="16"/>
      <x:c r="E6" s="16"/>
      <x:c r="F6" s="16"/>
      <x:c r="G6" s="16"/>
      <x:c r="H6" s="16"/>
      <x:c r="I6" s="16"/>
      <x:c r="J6" s="16"/>
      <x:c r="K6" s="16"/>
    </x:row>
    <x:row r="7">
      <x:c r="A7" t="str">
        <x:v>Historical market share price (p)</x:v>
      </x:c>
      <x:c r="B7" s="16" t="n">
        <x:v>171.8</x:v>
      </x:c>
      <x:c r="C7" s="16"/>
      <x:c r="D7" s="16"/>
      <x:c r="E7" s="16"/>
      <x:c r="F7" s="16"/>
      <x:c r="G7" s="16"/>
      <x:c r="H7" s="16"/>
      <x:c r="I7" s="16"/>
      <x:c r="J7" s="16"/>
      <x:c r="K7" s="16"/>
    </x:row>
    <x:row r="8">
      <x:c r="A8" t="str">
        <x:v>Shares less EBT (million)</x:v>
      </x:c>
      <x:c r="B8" s="16" t="n">
        <x:f>N49</x:f>
        <x:v>381.157777</x:v>
      </x:c>
      <x:c r="C8" s="16"/>
      <x:c r="D8" s="16"/>
      <x:c r="E8" s="16"/>
      <x:c r="F8" s="16"/>
      <x:c r="G8" s="16"/>
      <x:c r="H8" s="16"/>
      <x:c r="I8" s="16"/>
      <x:c r="J8" s="16"/>
      <x:c r="K8" s="16"/>
    </x:row>
    <x:row r="9">
      <x:c r="A9" t="str">
        <x:v>Long-run perpetual growth</x:v>
      </x:c>
      <x:c r="B9" s="30" t="n">
        <x:v>0.02</x:v>
      </x:c>
      <x:c r="C9" s="16"/>
      <x:c r="D9" s="16"/>
      <x:c r="E9" s="16"/>
      <x:c r="F9" s="16"/>
      <x:c r="G9" s="16"/>
      <x:c r="H9" s="16"/>
      <x:c r="I9" s="16"/>
      <x:c r="J9" s="16"/>
      <x:c r="K9" s="16"/>
    </x:row>
    <x:row r="10">
      <x:c r="A10" t="str">
        <x:v>Marginal operating tax rate</x:v>
      </x:c>
      <x:c r="B10" s="30" t="n">
        <x:v>0.25</x:v>
      </x:c>
      <x:c r="C10" s="16"/>
      <x:c r="D10" s="16"/>
      <x:c r="E10" s="16"/>
      <x:c r="F10" s="16"/>
      <x:c r="G10" s="16"/>
      <x:c r="H10" s="16"/>
      <x:c r="I10" s="16"/>
      <x:c r="J10" s="16"/>
      <x:c r="K10" s="16"/>
    </x:row>
    <x:row r="11">
      <x:c r="A11" t="str">
        <x:v>Dividend payout of projected earnings (illustrative)</x:v>
      </x:c>
      <x:c r="B11" s="30" t="n">
        <x:v>0.6</x:v>
      </x:c>
      <x:c r="C11" s="16"/>
      <x:c r="D11" s="16"/>
      <x:c r="E11" s="16"/>
      <x:c r="F11" s="16"/>
      <x:c r="G11" s="16"/>
      <x:c r="H11" s="16"/>
      <x:c r="I11" s="16"/>
      <x:c r="J11" s="16"/>
      <x:c r="K11" s="16"/>
    </x:row>
    <x:row r="12">
      <x:c r="A12" t="str">
        <x:v>DCF forecast years</x:v>
      </x:c>
      <x:c r="B12" s="16" t="n">
        <x:v>5</x:v>
      </x:c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 ht="23" customHeight="1">
      <x:c r="A14" s="11" t="str">
        <x:v>REVENUE, OPERATING MARGIN AND REINVESTMENT DRIVERS</x:v>
      </x:c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M14" t="str">
        <x:v>OPERATING SCENARIO INPUTS | EDITABLE</x:v>
      </x:c>
    </x:row>
    <x:row r="15">
      <x:c r="B15" s="16"/>
      <x:c r="C15" s="16"/>
      <x:c r="D15" s="16"/>
      <x:c r="E15" s="16"/>
      <x:c r="F15" s="16"/>
      <x:c r="G15" s="16" t="str">
        <x:v>FY2026E</x:v>
      </x:c>
      <x:c r="H15" s="16" t="str">
        <x:v>FY2027E</x:v>
      </x:c>
      <x:c r="I15" s="16" t="str">
        <x:v>FY2028E</x:v>
      </x:c>
      <x:c r="J15" s="16" t="str">
        <x:v>FY2029E</x:v>
      </x:c>
      <x:c r="K15" s="16" t="str">
        <x:v>FY2030E</x:v>
      </x:c>
      <x:c r="M15" t="str">
        <x:v>Driver</x:v>
      </x:c>
      <x:c r="N15" t="str">
        <x:v>Downside</x:v>
      </x:c>
      <x:c r="O15" t="str">
        <x:v>Base</x:v>
      </x:c>
      <x:c r="P15" t="str">
        <x:v>Upside</x:v>
      </x:c>
    </x:row>
    <x:row r="16">
      <x:c r="A16" t="str">
        <x:v>System sales growth</x:v>
      </x:c>
      <x:c r="B16" s="16"/>
      <x:c r="C16" s="16"/>
      <x:c r="D16" s="16"/>
      <x:c r="E16" s="16"/>
      <x:c r="F16" s="16"/>
      <x:c r="G16" s="30" t="n">
        <x:f>(1+$N$33)*G24/$N$31-1</x:f>
        <x:v>0.03587874413569092</x:v>
      </x:c>
      <x:c r="H16" s="30" t="n">
        <x:f>(1+$N$33)*H24/G24-1</x:f>
        <x:v>0.036534653465346345</x:v>
      </x:c>
      <x:c r="I16" s="30" t="n">
        <x:f>(1+$N$33)*I24/H24-1</x:f>
        <x:v>0.03608725761772846</x:v>
      </x:c>
      <x:c r="J16" s="30" t="n">
        <x:f>(1+$N$33)*J24/I24-1</x:f>
        <x:v>0.03565807327001358</x:v>
      </x:c>
      <x:c r="K16" s="30" t="n">
        <x:f>(1+$N$33)*K24/J24-1</x:f>
        <x:v>0.03524601063829769</x:v>
      </x:c>
      <x:c r="M16" t="str">
        <x:v>Annual system-sales growth change (pp)</x:v>
      </x:c>
      <x:c r="N16" s="30" t="n">
        <x:v>-0.01</x:v>
      </x:c>
      <x:c r="O16" s="30" t="n">
        <x:v>0</x:v>
      </x:c>
      <x:c r="P16" s="30" t="n">
        <x:v>0.01</x:v>
      </x:c>
    </x:row>
    <x:row r="17">
      <x:c r="A17" t="str">
        <x:v>Reported revenue / system sales</x:v>
      </x:c>
      <x:c r="B17" s="16"/>
      <x:c r="C17" s="16"/>
      <x:c r="D17" s="16"/>
      <x:c r="E17" s="16"/>
      <x:c r="F17" s="16"/>
      <x:c r="G17" s="30" t="n">
        <x:f>$N$34</x:f>
        <x:v>0.4295562797693658</x:v>
      </x:c>
      <x:c r="H17" s="30" t="n">
        <x:f>$N$34</x:f>
        <x:v>0.4295562797693658</x:v>
      </x:c>
      <x:c r="I17" s="30" t="n">
        <x:f>$N$34</x:f>
        <x:v>0.4295562797693658</x:v>
      </x:c>
      <x:c r="J17" s="30" t="n">
        <x:f>$N$34</x:f>
        <x:v>0.4295562797693658</x:v>
      </x:c>
      <x:c r="K17" s="30" t="n">
        <x:f>$N$34</x:f>
        <x:v>0.4295562797693658</x:v>
      </x:c>
      <x:c r="M17" t="str">
        <x:v>EBIT margin change (pp)</x:v>
      </x:c>
      <x:c r="N17" s="30" t="n">
        <x:v>-0.0075</x:v>
      </x:c>
      <x:c r="O17" s="30" t="n">
        <x:v>0</x:v>
      </x:c>
      <x:c r="P17" s="30" t="n">
        <x:v>0.005</x:v>
      </x:c>
    </x:row>
    <x:row r="18">
      <x:c r="A18" t="str">
        <x:v>Operating EBIT margin</x:v>
      </x:c>
      <x:c r="B18" s="16"/>
      <x:c r="C18" s="16"/>
      <x:c r="D18" s="16"/>
      <x:c r="E18" s="16"/>
      <x:c r="F18" s="16"/>
      <x:c r="G18" s="30" t="n">
        <x:f>'Income Statement'!$F$15+($N$32-'Income Statement'!$F$15)*1/$B$12</x:f>
        <x:v>0.1404015173621243</x:v>
      </x:c>
      <x:c r="H18" s="30" t="n">
        <x:f>'Income Statement'!$F$15+($N$32-'Income Statement'!$F$15)*2/$B$12</x:f>
        <x:v>0.14030113802159322</x:v>
      </x:c>
      <x:c r="I18" s="30" t="n">
        <x:f>'Income Statement'!$F$15+($N$32-'Income Statement'!$F$15)*3/$B$12</x:f>
        <x:v>0.14020075868106216</x:v>
      </x:c>
      <x:c r="J18" s="30" t="n">
        <x:f>'Income Statement'!$F$15+($N$32-'Income Statement'!$F$15)*4/$B$12</x:f>
        <x:v>0.14010037934053107</x:v>
      </x:c>
      <x:c r="K18" s="30" t="n">
        <x:f>'Income Statement'!$F$15+($N$32-'Income Statement'!$F$15)*5/$B$12</x:f>
        <x:v>0.14</x:v>
      </x:c>
      <x:c r="M18" t="str">
        <x:v>CapEx / revenue change (pp)</x:v>
      </x:c>
      <x:c r="N18" s="30" t="n">
        <x:v>0.01</x:v>
      </x:c>
      <x:c r="O18" s="30" t="n">
        <x:v>0</x:v>
      </x:c>
      <x:c r="P18" s="30" t="n">
        <x:v>-0.005</x:v>
      </x:c>
    </x:row>
    <x:row r="19">
      <x:c r="A19" t="str">
        <x:v>CapEx / revenue</x:v>
      </x:c>
      <x:c r="B19" s="16"/>
      <x:c r="C19" s="16"/>
      <x:c r="D19" s="16"/>
      <x:c r="E19" s="16"/>
      <x:c r="F19" s="16"/>
      <x:c r="G19" s="30" t="n">
        <x:v>0.05</x:v>
      </x:c>
      <x:c r="H19" s="30" t="n">
        <x:v>0.045</x:v>
      </x:c>
      <x:c r="I19" s="30" t="n">
        <x:v>0.0425</x:v>
      </x:c>
      <x:c r="J19" s="30" t="n">
        <x:v>0.04</x:v>
      </x:c>
      <x:c r="K19" s="30" t="n">
        <x:v>0.04</x:v>
      </x:c>
      <x:c r="M19" t="str">
        <x:v>Additional NWC cash use / revenue</x:v>
      </x:c>
      <x:c r="N19" s="30" t="n">
        <x:v>0.002</x:v>
      </x:c>
      <x:c r="O19" s="30" t="n">
        <x:v>0</x:v>
      </x:c>
      <x:c r="P19" s="30" t="n">
        <x:v>-0.001</x:v>
      </x:c>
    </x:row>
    <x:row r="20">
      <x:c r="A20" t="str">
        <x:v>PPE &amp; intangible D&amp;A / revenue</x:v>
      </x:c>
      <x:c r="B20" s="16"/>
      <x:c r="C20" s="16"/>
      <x:c r="D20" s="16"/>
      <x:c r="E20" s="16"/>
      <x:c r="F20" s="16"/>
      <x:c r="G20" s="30" t="n">
        <x:f>$N$36/'Income Statement'!$F$8</x:f>
        <x:v>0.03209804493726291</x:v>
      </x:c>
      <x:c r="H20" s="30" t="n">
        <x:f>$N$36/'Income Statement'!$F$8</x:f>
        <x:v>0.03209804493726291</x:v>
      </x:c>
      <x:c r="I20" s="30" t="n">
        <x:f>$N$36/'Income Statement'!$F$8</x:f>
        <x:v>0.03209804493726291</x:v>
      </x:c>
      <x:c r="J20" s="30" t="n">
        <x:f>$N$36/'Income Statement'!$F$8</x:f>
        <x:v>0.03209804493726291</x:v>
      </x:c>
      <x:c r="K20" s="30" t="n">
        <x:f>$N$36/'Income Statement'!$F$8</x:f>
        <x:v>0.03209804493726291</x:v>
      </x:c>
    </x:row>
    <x:row r="21">
      <x:c r="A21" t="str">
        <x:v>ROU depreciation / revenue</x:v>
      </x:c>
      <x:c r="B21" s="16"/>
      <x:c r="C21" s="16"/>
      <x:c r="D21" s="16"/>
      <x:c r="E21" s="16"/>
      <x:c r="F21" s="16"/>
      <x:c r="G21" s="30" t="n">
        <x:f>$N$35/'Income Statement'!$F$8</x:f>
        <x:v>0.009629413481178873</x:v>
      </x:c>
      <x:c r="H21" s="30" t="n">
        <x:f>$N$35/'Income Statement'!$F$8</x:f>
        <x:v>0.009629413481178873</x:v>
      </x:c>
      <x:c r="I21" s="30" t="n">
        <x:f>$N$35/'Income Statement'!$F$8</x:f>
        <x:v>0.009629413481178873</x:v>
      </x:c>
      <x:c r="J21" s="30" t="n">
        <x:f>$N$35/'Income Statement'!$F$8</x:f>
        <x:v>0.009629413481178873</x:v>
      </x:c>
      <x:c r="K21" s="30" t="n">
        <x:f>$N$35/'Income Statement'!$F$8</x:f>
        <x:v>0.009629413481178873</x:v>
      </x:c>
      <x:c r="M21" t="str">
        <x:v>Scenario revenue: base revenue x (1 + annual growth change)^forecast year.</x:v>
      </x:c>
    </x:row>
    <x:row r="22">
      <x:c r="A22" t="str">
        <x:v>Core operating NWC / revenue</x:v>
      </x:c>
      <x:c r="B22" s="16"/>
      <x:c r="C22" s="16"/>
      <x:c r="D22" s="16"/>
      <x:c r="E22" s="16"/>
      <x:c r="F22" s="16"/>
      <x:c r="G22" s="30" t="n">
        <x:f>'Balance Sheet'!G24/'Income Statement'!G8</x:f>
        <x:v>-0.02384445510310024</x:v>
      </x:c>
      <x:c r="H22" s="30" t="n">
        <x:f>'Balance Sheet'!H24/'Income Statement'!H8</x:f>
        <x:v>-0.02548271230018516</x:v>
      </x:c>
      <x:c r="I22" s="30" t="n">
        <x:f>'Balance Sheet'!I24/'Income Statement'!I8</x:f>
        <x:v>-0.027044545461147283</x:v>
      </x:c>
      <x:c r="J22" s="30" t="n">
        <x:f>'Balance Sheet'!J24/'Income Statement'!J8</x:f>
        <x:v>-0.028534668871478888</x:v>
      </x:c>
      <x:c r="K22" s="30" t="n">
        <x:f>'Balance Sheet'!K24/'Income Statement'!K8</x:f>
        <x:v>-0.02995742598937841</x:v>
      </x:c>
      <x:c r="M22" t="str">
        <x:v>FCFF is rebuilt from revised revenue, EBIT margin, D&amp;A, capital investment and NWC.</x:v>
      </x:c>
    </x:row>
    <x:row r="23">
      <x:c r="A23" t="str">
        <x:v>Projected year-end stores</x:v>
      </x:c>
      <x:c r="B23" s="16"/>
      <x:c r="C23" s="16"/>
      <x:c r="D23" s="16"/>
      <x:c r="E23" s="16"/>
      <x:c r="F23" s="16"/>
      <x:c r="G23" s="16" t="n">
        <x:f>$N$29+$N$27</x:f>
        <x:v>1429</x:v>
      </x:c>
      <x:c r="H23" s="16" t="n">
        <x:f>G23+$N$27</x:f>
        <x:v>1459</x:v>
      </x:c>
      <x:c r="I23" s="16" t="n">
        <x:f>H23+$N$27</x:f>
        <x:v>1489</x:v>
      </x:c>
      <x:c r="J23" s="16" t="n">
        <x:f>I23+$N$27</x:f>
        <x:v>1519</x:v>
      </x:c>
      <x:c r="K23" s="16" t="n">
        <x:f>J23+$N$27</x:f>
        <x:v>1549</x:v>
      </x:c>
      <x:c r="M23" t="str">
        <x:v>Base scenario has zero changes and must reconcile exactly to the primary DCF.</x:v>
      </x:c>
    </x:row>
    <x:row r="24">
      <x:c r="A24" t="str">
        <x:v>Projected average stores</x:v>
      </x:c>
      <x:c r="B24" s="16"/>
      <x:c r="C24" s="16"/>
      <x:c r="D24" s="16"/>
      <x:c r="E24" s="16"/>
      <x:c r="F24" s="16"/>
      <x:c r="G24" s="16" t="n">
        <x:f>AVERAGE($N$29,G23)</x:f>
        <x:v>1414</x:v>
      </x:c>
      <x:c r="H24" s="16" t="n">
        <x:f>AVERAGE(G23,H23)</x:f>
        <x:v>1444</x:v>
      </x:c>
      <x:c r="I24" s="16" t="n">
        <x:f>AVERAGE(H23,I23)</x:f>
        <x:v>1474</x:v>
      </x:c>
      <x:c r="J24" s="16" t="n">
        <x:f>AVERAGE(I23,J23)</x:f>
        <x:v>1504</x:v>
      </x:c>
      <x:c r="K24" s="16" t="n">
        <x:f>AVERAGE(J23,K23)</x:f>
        <x:v>1534</x:v>
      </x:c>
    </x:row>
    <x:row r="25" ht="23" customHeight="1">
      <x:c r="A25" s="11" t="str">
        <x:v>WACC | AUDITABLE FORWARD-LOOKING BUILD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>
      <x:c r="A26" t="str">
        <x:v>UK gilt risk-free rate</x:v>
      </x:c>
      <x:c r="B26" s="30" t="n">
        <x:v>0.0451</x:v>
      </x:c>
      <x:c r="C26" s="16"/>
      <x:c r="D26" s="16"/>
      <x:c r="E26" s="16"/>
      <x:c r="F26" s="16"/>
      <x:c r="G26" s="16"/>
      <x:c r="H26" s="16"/>
      <x:c r="I26" s="16"/>
      <x:c r="J26" s="16"/>
      <x:c r="K26" s="16"/>
      <x:c r="M26" t="str">
        <x:v>BASE-CASE OPERATING DRIVER BUILD</x:v>
      </x:c>
      <x:c r="N26"/>
    </x:row>
    <x:row r="27">
      <x:c r="A27" t="str">
        <x:v>Five-year observed levered beta</x:v>
      </x:c>
      <x:c r="B27" s="16" t="n">
        <x:v>1.0047049038823541</x:v>
      </x:c>
      <x:c r="C27" s="16"/>
      <x:c r="D27" s="16"/>
      <x:c r="E27" s="16"/>
      <x:c r="F27" s="16"/>
      <x:c r="G27" s="16"/>
      <x:c r="H27" s="16"/>
      <x:c r="I27" s="16"/>
      <x:c r="J27" s="16"/>
      <x:c r="K27" s="16"/>
      <x:c r="M27" t="str">
        <x:v>Annual net store additions</x:v>
      </x:c>
      <x:c r="N27" t="n">
        <x:v>30</x:v>
      </x:c>
    </x:row>
    <x:row r="28">
      <x:c r="A28" t="str">
        <x:v>Selected equity risk premium</x:v>
      </x:c>
      <x:c r="B28" s="30" t="n">
        <x:v>0.05</x:v>
      </x:c>
      <x:c r="C28" s="16"/>
      <x:c r="D28" s="16"/>
      <x:c r="E28" s="16"/>
      <x:c r="F28" s="16"/>
      <x:c r="G28" s="16"/>
      <x:c r="H28" s="16"/>
      <x:c r="I28" s="16"/>
      <x:c r="J28" s="16"/>
      <x:c r="K28" s="16"/>
      <x:c r="M28" t="str">
        <x:v>FY2024 year-end stores (historical)</x:v>
      </x:c>
      <x:c r="N28" t="n">
        <x:v>1372</x:v>
      </x:c>
    </x:row>
    <x:row r="29">
      <x:c r="A29" t="str">
        <x:v>Cost of equity (CAPM)</x:v>
      </x:c>
      <x:c r="B29" s="30" t="n">
        <x:f>B26+B27*B28</x:f>
        <x:v>0.09533524519411771</x:v>
      </x:c>
      <x:c r="C29" s="16"/>
      <x:c r="D29" s="16"/>
      <x:c r="E29" s="16"/>
      <x:c r="F29" s="16"/>
      <x:c r="G29" s="16"/>
      <x:c r="H29" s="16"/>
      <x:c r="I29" s="16"/>
      <x:c r="J29" s="16"/>
      <x:c r="K29" s="16"/>
      <x:c r="M29" t="str">
        <x:v>FY2025 year-end stores (historical)</x:v>
      </x:c>
      <x:c r="N29" t="n">
        <x:v>1399</x:v>
      </x:c>
    </x:row>
    <x:row r="30">
      <x:c r="A30" t="str">
        <x:v>2027 £200m refinancing rate</x:v>
      </x:c>
      <x:c r="B30" s="30" t="n">
        <x:v>0.0626</x:v>
      </x:c>
      <x:c r="C30" s="16"/>
      <x:c r="D30" s="16"/>
      <x:c r="E30" s="16"/>
      <x:c r="F30" s="16"/>
      <x:c r="G30" s="16"/>
      <x:c r="H30" s="16"/>
      <x:c r="I30" s="16"/>
      <x:c r="J30" s="16"/>
      <x:c r="K30" s="16"/>
      <x:c r="M30" t="str">
        <x:v>FY2025 system sales (£m)</x:v>
      </x:c>
      <x:c r="N30" t="n">
        <x:f>'Income Statement'!F7</x:f>
        <x:v>1595.6</x:v>
      </x:c>
    </x:row>
    <x:row r="31">
      <x:c r="A31" t="str">
        <x:v>2034 £100m private placement coupon</x:v>
      </x:c>
      <x:c r="B31" s="30" t="n">
        <x:v>0.0597</x:v>
      </x:c>
      <x:c r="C31" s="16"/>
      <x:c r="D31" s="16"/>
      <x:c r="E31" s="16"/>
      <x:c r="F31" s="16"/>
      <x:c r="G31" s="16"/>
      <x:c r="H31" s="16"/>
      <x:c r="I31" s="16"/>
      <x:c r="J31" s="16"/>
      <x:c r="K31" s="16"/>
      <x:c r="M31" t="str">
        <x:v>FY2025 average operating stores</x:v>
      </x:c>
      <x:c r="N31" t="n">
        <x:f>AVERAGE(N28:N29)</x:f>
        <x:v>1385.5</x:v>
      </x:c>
    </x:row>
    <x:row r="32">
      <x:c r="A32" t="str">
        <x:v>Revolving facility financing rate</x:v>
      </x:c>
      <x:c r="B32" s="30" t="n">
        <x:v>0.060892</x:v>
      </x:c>
      <x:c r="C32" s="16"/>
      <x:c r="D32" s="16"/>
      <x:c r="E32" s="16"/>
      <x:c r="F32" s="16"/>
      <x:c r="G32" s="16"/>
      <x:c r="H32" s="16"/>
      <x:c r="I32" s="16"/>
      <x:c r="J32" s="16"/>
      <x:c r="K32" s="16"/>
      <x:c r="M32" t="str">
        <x:v>FY2030 target EBIT margin</x:v>
      </x:c>
      <x:c r="N32" s="30" t="n">
        <x:v>0.14</x:v>
      </x:c>
    </x:row>
    <x:row r="33">
      <x:c r="A33" t="str">
        <x:v>£200m refinancing principal</x:v>
      </x:c>
      <x:c r="B33" s="16" t="n">
        <x:v>200</x:v>
      </x:c>
      <x:c r="C33" s="16"/>
      <x:c r="D33" s="16"/>
      <x:c r="E33" s="16"/>
      <x:c r="F33" s="16"/>
      <x:c r="G33" s="16"/>
      <x:c r="H33" s="16"/>
      <x:c r="I33" s="16"/>
      <x:c r="J33" s="16"/>
      <x:c r="K33" s="16"/>
      <x:c r="M33" t="str">
        <x:v>Annual like-for-like system sales growth</x:v>
      </x:c>
      <x:c r="N33" s="30" t="n">
        <x:v>0.015</x:v>
      </x:c>
    </x:row>
    <x:row r="34">
      <x:c r="A34" t="str">
        <x:v>£100m contractual principal</x:v>
      </x:c>
      <x:c r="B34" s="16" t="n">
        <x:v>100</x:v>
      </x:c>
      <x:c r="C34" s="16"/>
      <x:c r="D34" s="16"/>
      <x:c r="E34" s="16"/>
      <x:c r="F34" s="16"/>
      <x:c r="G34" s="16"/>
      <x:c r="H34" s="16"/>
      <x:c r="I34" s="16"/>
      <x:c r="J34" s="16"/>
      <x:c r="K34" s="16"/>
      <x:c r="M34" t="str">
        <x:v>FY2025 reported revenue / system sales</x:v>
      </x:c>
      <x:c r="N34" s="30" t="n">
        <x:f>'Income Statement'!F8/'Income Statement'!F7</x:f>
        <x:v>0.4295562797693658</x:v>
      </x:c>
    </x:row>
    <x:row r="35">
      <x:c r="A35" s="14" t="str">
        <x:v>Revolving facility drawn principal</x:v>
      </x:c>
      <x:c r="B35" s="18" t="n">
        <x:v>13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M35" t="str">
        <x:v>Base FY2025-normalized ROU depreciation (£m)</x:v>
      </x:c>
      <x:c r="N35" t="n">
        <x:v>6.6</x:v>
      </x:c>
    </x:row>
    <x:row r="36">
      <x:c r="A36" s="14" t="str">
        <x:v>Lease financing cost</x:v>
      </x:c>
      <x:c r="B36" s="32" t="n">
        <x:v>0.06257982120051087</x:v>
      </x:c>
      <x:c r="C36" s="18"/>
      <x:c r="D36" s="18"/>
      <x:c r="E36" s="18"/>
      <x:c r="F36" s="18"/>
      <x:c r="G36" s="18"/>
      <x:c r="H36" s="18"/>
      <x:c r="I36" s="18"/>
      <x:c r="J36" s="18"/>
      <x:c r="K36" s="18"/>
      <x:c r="M36" t="str">
        <x:v>Base annual PPE / intangible D&amp;A (£m)</x:v>
      </x:c>
      <x:c r="N36" t="n">
        <x:v>22</x:v>
      </x:c>
    </x:row>
    <x:row r="37">
      <x:c r="A37" s="14" t="str">
        <x:v>Reported borrowings</x:v>
      </x:c>
      <x:c r="B37" s="18" t="n">
        <x:v>309.2</x:v>
      </x:c>
      <x:c r="C37" s="18"/>
      <x:c r="D37" s="18"/>
      <x:c r="E37" s="18"/>
      <x:c r="F37" s="18"/>
      <x:c r="G37" s="18"/>
      <x:c r="H37" s="18"/>
      <x:c r="I37" s="18"/>
      <x:c r="J37" s="18"/>
      <x:c r="K37" s="18"/>
    </x:row>
    <x:row r="38">
      <x:c r="A38" s="14" t="str">
        <x:v>Lease liability</x:v>
      </x:c>
      <x:c r="B38" s="18" t="n">
        <x:v>240.1</x:v>
      </x:c>
      <x:c r="C38" s="18"/>
      <x:c r="D38" s="18"/>
      <x:c r="E38" s="18"/>
      <x:c r="F38" s="18"/>
      <x:c r="G38" s="18"/>
      <x:c r="H38" s="18"/>
      <x:c r="I38" s="18"/>
      <x:c r="J38" s="18"/>
      <x:c r="K38" s="18"/>
    </x:row>
    <x:row r="39">
      <x:c r="A39" s="14" t="str">
        <x:v>Observed market capitalisation</x:v>
      </x:c>
      <x:c r="B39" s="18" t="n">
        <x:f>B7/100*B8</x:f>
        <x:v>654.8290608860001</x:v>
      </x:c>
      <x:c r="C39" s="18"/>
      <x:c r="D39" s="18"/>
      <x:c r="E39" s="18"/>
      <x:c r="F39" s="18"/>
      <x:c r="G39" s="18"/>
      <x:c r="H39" s="18"/>
      <x:c r="I39" s="18"/>
      <x:c r="J39" s="18"/>
      <x:c r="K39" s="18"/>
    </x:row>
    <x:row r="40">
      <x:c r="A40" s="14" t="str">
        <x:v>Equity financing weight</x:v>
      </x:c>
      <x:c r="B40" s="32" t="n">
        <x:f>B39/(B39+B37+B38)</x:f>
        <x:v>0.5438196636531436</x:v>
      </x:c>
      <x:c r="C40" s="18"/>
      <x:c r="D40" s="18"/>
      <x:c r="E40" s="18"/>
      <x:c r="F40" s="18"/>
      <x:c r="G40" s="18"/>
      <x:c r="H40" s="18"/>
      <x:c r="I40" s="18"/>
      <x:c r="J40" s="18"/>
      <x:c r="K40" s="18"/>
    </x:row>
    <x:row r="41">
      <x:c r="A41" s="14" t="str">
        <x:v>Gross debt / lease weight</x:v>
      </x:c>
      <x:c r="B41" s="32" t="n">
        <x:f>1-B40</x:f>
        <x:v>0.4561803363468564</x:v>
      </x:c>
      <x:c r="C41" s="18"/>
      <x:c r="D41" s="18"/>
      <x:c r="E41" s="18"/>
      <x:c r="F41" s="18"/>
      <x:c r="G41" s="18"/>
      <x:c r="H41" s="18"/>
      <x:c r="I41" s="18"/>
      <x:c r="J41" s="18"/>
      <x:c r="K41" s="18"/>
    </x:row>
    <x:row r="42">
      <x:c r="A42" s="14" t="str">
        <x:v>Blended forward borrowing cost</x:v>
      </x:c>
      <x:c r="B42" s="32" t="n">
        <x:f>SUMPRODUCT(B30:B32,B33:B35)/SUM(B33:B35)</x:f>
        <x:v>0.061602543130990416</x:v>
      </x:c>
      <x:c r="C42" s="18"/>
      <x:c r="D42" s="18"/>
      <x:c r="E42" s="18"/>
      <x:c r="F42" s="18"/>
      <x:c r="G42" s="18"/>
      <x:c r="H42" s="18"/>
      <x:c r="I42" s="18"/>
      <x:c r="J42" s="18"/>
      <x:c r="K42" s="18"/>
    </x:row>
    <x:row r="43">
      <x:c r="A43" s="14" t="str">
        <x:v>Blended pretax financing cost</x:v>
      </x:c>
      <x:c r="B43" s="32" t="n">
        <x:f>(B42*B37+B36*B38)/(B37+B38)</x:f>
        <x:v>0.06202971310093736</x:v>
      </x:c>
      <x:c r="C43" s="18"/>
      <x:c r="D43" s="18"/>
      <x:c r="E43" s="18"/>
      <x:c r="F43" s="18"/>
      <x:c r="G43" s="18"/>
      <x:c r="H43" s="18"/>
      <x:c r="I43" s="18"/>
      <x:c r="J43" s="18"/>
      <x:c r="K43" s="18"/>
    </x:row>
    <x:row r="44">
      <x:c r="A44" s="14" t="str">
        <x:v>Selected WACC</x:v>
      </x:c>
      <x:c r="B44" s="37" t="n">
        <x:f>B40*B29+B41*B43*(1-B10)</x:f>
        <x:v>0.07306773251516852</x:v>
      </x:c>
      <x:c r="C44" s="18"/>
      <x:c r="D44" s="18"/>
      <x:c r="E44" s="18"/>
      <x:c r="F44" s="18"/>
      <x:c r="G44" s="18"/>
      <x:c r="H44" s="18"/>
      <x:c r="I44" s="18"/>
      <x:c r="J44" s="18"/>
      <x:c r="K44" s="18"/>
    </x:row>
    <x:row r="45">
      <x:c r="A45" s="14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</x:row>
    <x:row r="46" ht="22" customHeight="1">
      <x:c r="A46" s="14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M46" s="64" t="str">
        <x:v>AUDITED SHARE COUNT | FY2025</x:v>
      </x:c>
      <x:c r="N46" s="64" t="str">
        <x:v>Shares (millions)</x:v>
      </x:c>
      <x:c r="O46" s="64" t="str">
        <x:v>Evidence</x:v>
      </x:c>
    </x:row>
    <x:row r="47" ht="23" customHeight="1">
      <x:c r="A47" s="22" t="str">
        <x:v>METHODOLOGY, PRIMARY SOURCES &amp; CAVEATS</x:v>
      </x:c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M47" t="str">
        <x:v>Issued ordinary shares</x:v>
      </x:c>
      <x:c r="N47" s="65" t="n">
        <x:v>384.868623</x:v>
      </x:c>
      <x:c r="O47" t="str">
        <x:v>FY2025 audited annual report, note 26</x:v>
      </x:c>
    </x:row>
    <x:row r="48">
      <x:c r="A48" s="14" t="str">
        <x:v>Historical figures are audited FY2021–FY2025 figures; the FY2025 accounts were APPROVED 9 March 2026 and published 24 March 2026. This is a retrospective FY2025-based model, not a 28 Dec 2025 information-set backtest.</x:v>
      </x:c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M48" t="str">
        <x:v>Shares held in employee benefit trust</x:v>
      </x:c>
      <x:c r="N48" s="65" t="n">
        <x:v>3.710846</x:v>
      </x:c>
      <x:c r="O48" t="str">
        <x:v>FY2025 audited annual report, note 26</x:v>
      </x:c>
    </x:row>
    <x:row r="49">
      <x:c r="A49" s="14" t="str">
        <x:v>2025 annual report: https://investors.dominos.co.uk/system/files/uploads/financialdocs/2025-annual-report.pdf</x:v>
      </x:c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M49" t="str">
        <x:v>Basic shares excluding EBT</x:v>
      </x:c>
      <x:c r="N49" s="65" t="n">
        <x:f>N47-N48</x:f>
        <x:v>381.157777</x:v>
      </x:c>
      <x:c r="O49" t="str">
        <x:v>Issued less EBT; 381,157,777 shares</x:v>
      </x:c>
    </x:row>
    <x:row r="50">
      <x:c r="A50" s="14" t="str">
        <x:v>FY2025 audited reports: https://investors.dominos.co.uk/system/files/uploads/financialdocs/2025-annual-report.pdf ; 2021 report: https://investors.dominos.co.uk</x:v>
      </x:c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</x:row>
    <x:row r="51">
      <x:c r="A51" s="14" t="str">
        <x:v>WACC: 4.51% gilt proxy, historical regression beta, 5.0% analyst ERP, refinancing spread assumption, gross lease-debt-inclusive structure.</x:v>
      </x:c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</x:row>
    <x:row r="52" ht="22" customHeight="1">
      <x:c r="A52" s="14" t="str">
        <x:v>Financing adjustment: existing head-lease liabilities deducted; recognised finance sublease receivable added separately. Lease renewal costs remain a material judgement.</x:v>
      </x:c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M52" s="64" t="str">
        <x:v>LIVE MODEL CHECKS | MUST ALL PASS</x:v>
      </x:c>
      <x:c r="N52" s="64" t="str">
        <x:v>Result</x:v>
      </x:c>
      <x:c r="O52" s="64" t="str">
        <x:v>Definition / independent control</x:v>
      </x:c>
    </x:row>
    <x:row r="53">
      <x:c r="A53" s="14" t="str">
        <x:v>FY2026–FY2030 CapEx intensities = 5.00%, 4.50%, 4.25%, 4.00%, 4.00% of sales. FY2030 operating margin 14.00%. Forecast assumes elevated investment tapers.</x:v>
      </x:c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M53" t="str">
        <x:v>Historical share count against FY2025 annual report</x:v>
      </x:c>
      <x:c r="N53" t="str">
        <x:f>IF(ABS(B8-(N47-N48))&lt;0.000001,"PASS","FAIL")</x:f>
        <x:v>PASS</x:v>
      </x:c>
      <x:c r="O53" t="str">
        <x:v>384.868623m issued less 3.710846m EBT</x:v>
      </x:c>
    </x:row>
    <x:row r="54">
      <x:c r="A54" s="14" t="str">
        <x:v>Historical statutory EBIT includes associates/JVs and exceptional gains; normalized operating EBIT is an analyst bridge, not identical to statutory EBIT. FY2025 96.3m anchor requires a complete line-by-line normalization tie-out.</x:v>
      </x:c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M54" t="str">
        <x:v>FY2025 balance sheet identity</x:v>
      </x:c>
      <x:c r="N54" t="str">
        <x:f>IF(ABS('Balance Sheet'!F29)&lt;0.000001,"PASS","FAIL")</x:f>
        <x:v>PASS</x:v>
      </x:c>
      <x:c r="O54" t="str">
        <x:v>Assets less liabilities less reported equity</x:v>
      </x:c>
    </x:row>
    <x:row r="55">
      <x:c r="A55" s="14" t="str">
        <x:v>Projected BS arithmetic ties to earnings, cash and working-capital rolls. Simplified forward debt/lease/sublease policy holds principal and net assets constant; real-world maturity, lease renewals and financing cash flows are not yet modelled.</x:v>
      </x:c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M55" t="str">
        <x:v>FY2025 normalized EBIT bridge</x:v>
      </x:c>
      <x:c r="N55" t="str">
        <x:f>IF(ABS('Income Statement'!N37)&lt;0.000001,"PASS","FAIL")</x:f>
        <x:v>PASS</x:v>
      </x:c>
      <x:c r="O55" t="str">
        <x:v>Reconciles to analyst normalized EBIT</x:v>
      </x:c>
    </x:row>
    <x:row r="56">
      <x:c r="A56" s="14" t="str">
        <x:v>Operating EBIT normalization and lease reconciliations are shown on the relevant statements; modeled operating NWC changes equal inventory + trade receivable changes less payable changes, while historical NWC coverage difference is held constant.</x:v>
      </x:c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M56" t="str">
        <x:v>FY2026 forecast BS / retained earnings tie</x:v>
      </x:c>
      <x:c r="N56" t="str">
        <x:f>IF(ABS('Balance Sheet'!G27)&lt;0.000001,"PASS","FAIL")</x:f>
        <x:v>PASS</x:v>
      </x:c>
      <x:c r="O56" t="str">
        <x:v>Forecast BS net assets vs retained earnings roll</x:v>
      </x:c>
    </x:row>
    <x:row r="57">
      <x:c r="A57" s="14" t="str">
        <x:v>24 Dec 2025 reference price of 171.8p predates publication of FY2025 audited information (March 2026). The premium is therefore illustrative, NOT a contemporaneous market mispricing signal.</x:v>
      </x:c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M57" t="str">
        <x:v>FY2027 forecast BS / retained earnings tie</x:v>
      </x:c>
      <x:c r="N57" t="str">
        <x:f>IF(ABS('Balance Sheet'!H27)&lt;0.000001,"PASS","FAIL")</x:f>
        <x:v>PASS</x:v>
      </x:c>
      <x:c r="O57" t="str">
        <x:v>Forecast BS net assets vs retained earnings roll</x:v>
      </x:c>
    </x:row>
    <x:row r="58">
      <x:c r="A58" s="14" t="str">
        <x:v>Perpetuity-growth terminal method is used. An exit-multiple alternative is not independently calculated. Fixed-FCFF reverse DCF appears on Sensitivity; it is a conditional diagnostic only.</x:v>
      </x:c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M58" t="str">
        <x:v>FY2028 forecast BS / retained earnings tie</x:v>
      </x:c>
      <x:c r="N58" t="str">
        <x:f>IF(ABS('Balance Sheet'!I27)&lt;0.000001,"PASS","FAIL")</x:f>
        <x:v>PASS</x:v>
      </x:c>
      <x:c r="O58" t="str">
        <x:v>Forecast BS net assets vs retained earnings roll</x:v>
      </x:c>
    </x:row>
    <x:row r="59">
      <x:c r="A59" s="14" t="str">
        <x:v>Forecast sales and margins now derive from store additions, LFL growth and FY2025 financial anchors; change the driver inputs in N27:N36.</x:v>
      </x:c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M59" t="str">
        <x:v>FY2029 forecast BS / retained earnings tie</x:v>
      </x:c>
      <x:c r="N59" t="str">
        <x:f>IF(ABS('Balance Sheet'!J27)&lt;0.000001,"PASS","FAIL")</x:f>
        <x:v>PASS</x:v>
      </x:c>
      <x:c r="O59" t="str">
        <x:v>Forecast BS net assets vs retained earnings roll</x:v>
      </x:c>
    </x:row>
    <x:row r="60">
      <x:c r="A60" s="14" t="str">
        <x:v>Hardcodes retained only for historical reported inputs, documented model judgments, scenario shocks and structural non-projected zeros.</x:v>
      </x:c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M60" t="str">
        <x:v>FY2030 forecast BS / retained earnings tie</x:v>
      </x:c>
      <x:c r="N60" t="str">
        <x:f>IF(ABS('Balance Sheet'!K27)&lt;0.000001,"PASS","FAIL")</x:f>
        <x:v>PASS</x:v>
      </x:c>
      <x:c r="O60" t="str">
        <x:v>Forecast BS net assets vs retained earnings roll</x:v>
      </x:c>
    </x:row>
    <x:row r="61">
      <x:c r="A61" t="str">
        <x:v>Share count: 2025 annual report note 26 reports 384,868,623 issued ordinary shares and 3,710,846 EBT holdings; 381,157,777 net shares. Model checks Assumptions M52:O75.</x:v>
      </x:c>
      <x:c r="M61" t="str">
        <x:v>FCFF reconstruction (all five years)</x:v>
      </x:c>
      <x:c r="N61" t="str">
        <x:f>IF(MAX(ABS(DCF!G51),ABS(DCF!H51),ABS(DCF!I51),ABS(DCF!J51),ABS(DCF!K51))&lt;0.000001,"PASS","FAIL")</x:f>
        <x:v>PASS</x:v>
      </x:c>
      <x:c r="O61" t="str">
        <x:v>DCF FCFF versus Cash Flow FCFF</x:v>
      </x:c>
    </x:row>
    <x:row r="62" ht="25" customHeight="1">
      <x:c r="A62" s="56" t="str">
        <x:v>MODEL VALIDATION REGISTER | INDEPENDENT AUDIT</x:v>
      </x:c>
      <x:c r="B62" s="56"/>
      <x:c r="C62" s="56"/>
      <x:c r="D62" s="56"/>
      <x:c r="E62" s="56"/>
      <x:c r="F62" s="56"/>
      <x:c r="G62" s="56"/>
      <x:c r="M62" t="str">
        <x:v>Base scenario / main DCF share price</x:v>
      </x:c>
      <x:c r="N62" t="str">
        <x:f>IF(ABS(Sensitivity!B32)&lt;0.000001,"PASS","FAIL")</x:f>
        <x:v>PASS</x:v>
      </x:c>
      <x:c r="O62" t="str">
        <x:v>Sensitivity C29 vs DCF B39</x:v>
      </x:c>
    </x:row>
    <x:row r="63" ht="27" customHeight="1">
      <x:c r="A63" s="62" t="str">
        <x:v>ID</x:v>
      </x:c>
      <x:c r="B63" s="62" t="str">
        <x:v>Priority</x:v>
      </x:c>
      <x:c r="C63" s="62" t="str">
        <x:v>Test / control</x:v>
      </x:c>
      <x:c r="D63" s="62" t="str">
        <x:v>Result</x:v>
      </x:c>
      <x:c r="E63" s="62" t="str">
        <x:v>Finding / corrective action</x:v>
      </x:c>
      <x:c r="F63" s="62" t="str">
        <x:v>Status</x:v>
      </x:c>
      <x:c r="G63" s="62" t="str">
        <x:v>Source / evidence</x:v>
      </x:c>
      <x:c r="M63" t="str">
        <x:v>Centre WACC / growth grid vs main DCF</x:v>
      </x:c>
      <x:c r="N63" t="str">
        <x:f>IF(ABS(Sensitivity!D9-DCF!B39)&lt;0.000001,"PASS","FAIL")</x:f>
        <x:v>PASS</x:v>
      </x:c>
      <x:c r="O63" t="str">
        <x:v>Sensitivity D9 vs DCF B39</x:v>
      </x:c>
    </x:row>
    <x:row r="64" ht="42" customHeight="1">
      <x:c r="A64" s="14" t="str">
        <x:v>V01</x:v>
      </x:c>
      <x:c r="B64" s="14" t="str">
        <x:v>PASS</x:v>
      </x:c>
      <x:c r="C64" s="14" t="str">
        <x:v>Workbook / formula integrity</x:v>
      </x:c>
      <x:c r="D64" s="14" t="str">
        <x:v>Six worksheets; critical DCF is formula-linked</x:v>
      </x:c>
      <x:c r="E64" s="14" t="str">
        <x:v>XLSX structure scanned for #REF, bad stored errors and unexpected static valuation outputs.</x:v>
      </x:c>
      <x:c r="F64" s="14" t="str">
        <x:v>Verified</x:v>
      </x:c>
      <x:c r="G64" s="14" t="str">
        <x:v>Model saved 20 Oct 2026</x:v>
      </x:c>
      <x:c r="M64" t="str">
        <x:v>Lease receivable audited FY2025 roll-forward</x:v>
      </x:c>
      <x:c r="N64" t="str">
        <x:f>IF(ABS(DCF!N44)&lt;0.000001,"PASS","FAIL")</x:f>
        <x:v>PASS</x:v>
      </x:c>
      <x:c r="O64" t="str">
        <x:v>Reconciliation on DCF N44</x:v>
      </x:c>
    </x:row>
    <x:row r="65" ht="42" customHeight="1">
      <x:c r="A65" s="14" t="str">
        <x:v>V02</x:v>
      </x:c>
      <x:c r="B65" s="14" t="str">
        <x:v>PASS</x:v>
      </x:c>
      <x:c r="C65" s="14" t="str">
        <x:v>FY2025 revenue / gross profit</x:v>
      </x:c>
      <x:c r="D65" s="14" t="str">
        <x:v>£685.4m / £314.7m</x:v>
      </x:c>
      <x:c r="E65" s="14" t="str">
        <x:v>Matches FY2025 audited income statement.</x:v>
      </x:c>
      <x:c r="F65" s="14" t="str">
        <x:v>Verified</x:v>
      </x:c>
      <x:c r="G65" s="14" t="str">
        <x:v>FY2025 annual report p134</x:v>
      </x:c>
      <x:c r="M65" t="str">
        <x:v>Net FY2025 lease cash flow</x:v>
      </x:c>
      <x:c r="N65" t="str">
        <x:f>IF(ABS(DCF!N49)&lt;0.000001,"PASS","FAIL")</x:f>
        <x:v>PASS</x:v>
      </x:c>
      <x:c r="O65" t="str">
        <x:v>Reconciliation on DCF N49</x:v>
      </x:c>
    </x:row>
    <x:row r="66" ht="42" customHeight="1">
      <x:c r="A66" s="14" t="str">
        <x:v>V03</x:v>
      </x:c>
      <x:c r="B66" s="14" t="str">
        <x:v>PASS</x:v>
      </x:c>
      <x:c r="C66" s="14" t="str">
        <x:v>FY2025 statutory EBIT / PBT</x:v>
      </x:c>
      <x:c r="D66" s="14" t="str">
        <x:v>£101.1m / £81.1m</x:v>
      </x:c>
      <x:c r="E66" s="14" t="str">
        <x:v>Matches FY2025 consolidated statutory income statement.</x:v>
      </x:c>
      <x:c r="F66" s="14" t="str">
        <x:v>Verified</x:v>
      </x:c>
      <x:c r="G66" s="14" t="str">
        <x:v>FY2025 annual report p134</x:v>
      </x:c>
      <x:c r="M66" t="str">
        <x:v>WACC greater than perpetual growth</x:v>
      </x:c>
      <x:c r="N66" t="str">
        <x:f>IF(DCF!B25&gt;DCF!B26,"PASS","FAIL")</x:f>
        <x:v>PASS</x:v>
      </x:c>
      <x:c r="O66" t="str">
        <x:v>Terminal formula valid only when WACC &gt; g</x:v>
      </x:c>
    </x:row>
    <x:row r="67" ht="42" customHeight="1">
      <x:c r="A67" s="14" t="str">
        <x:v>V04</x:v>
      </x:c>
      <x:c r="B67" s="14" t="str">
        <x:v>PASS</x:v>
      </x:c>
      <x:c r="C67" s="14" t="str">
        <x:v>FY2025 assets / liabilities</x:v>
      </x:c>
      <x:c r="D67" s="14" t="str">
        <x:v>£613.9m / £702.8m</x:v>
      </x:c>
      <x:c r="E67" s="14" t="str">
        <x:v>Matches consolidated statement of financial position; £88.9m deficit.</x:v>
      </x:c>
      <x:c r="F67" s="14" t="str">
        <x:v>Verified</x:v>
      </x:c>
      <x:c r="G67" s="14" t="str">
        <x:v>FY2025 annual report p136</x:v>
      </x:c>
    </x:row>
    <x:row r="68" ht="42" customHeight="1">
      <x:c r="A68" s="14" t="str">
        <x:v>V05</x:v>
      </x:c>
      <x:c r="B68" s="14" t="str">
        <x:v>PASS</x:v>
      </x:c>
      <x:c r="C68" s="14" t="str">
        <x:v>FY2025 CFO / CapEx</x:v>
      </x:c>
      <x:c r="D68" s="14" t="str">
        <x:v>£103.9m / £24.1m</x:v>
      </x:c>
      <x:c r="E68" s="14" t="str">
        <x:v>PPE £17.0m plus intangibles £7.1m; CFO less CapEx £79.8m (not FCFF).</x:v>
      </x:c>
      <x:c r="F68" s="14" t="str">
        <x:v>Verified</x:v>
      </x:c>
      <x:c r="G68" s="14" t="str">
        <x:v>FY2025 annual report p139</x:v>
      </x:c>
      <x:c r="M68" t="str">
        <x:v>OVERALL MODEL ARITHMETIC CHECK</x:v>
      </x:c>
      <x:c r="N68" t="str">
        <x:f>IF(COUNTIF(N53:N66,"FAIL")=0,"PASS","FAIL")</x:f>
        <x:v>PASS</x:v>
      </x:c>
      <x:c r="O68" t="str">
        <x:v>A PASS verifies listed equalities, NOT terminal economics, external inputs or forecast IFRS completeness.</x:v>
      </x:c>
    </x:row>
    <x:row r="69" ht="42" customHeight="1">
      <x:c r="A69" s="14" t="str">
        <x:v>V06</x:v>
      </x:c>
      <x:c r="B69" s="14" t="str">
        <x:v>PASS</x:v>
      </x:c>
      <x:c r="C69" s="14" t="str">
        <x:v>FY2025 borrowings / leases</x:v>
      </x:c>
      <x:c r="D69" s="14" t="str">
        <x:v>£309.2m / £240.1m</x:v>
      </x:c>
      <x:c r="E69" s="14" t="str">
        <x:v>Matches FY2025 financial liabilities and total lease liabilities.</x:v>
      </x:c>
      <x:c r="F69" s="14" t="str">
        <x:v>Verified</x:v>
      </x:c>
      <x:c r="G69" s="14" t="str">
        <x:v>FY2025 annual report p136 and note 15</x:v>
      </x:c>
    </x:row>
    <x:row r="70" ht="22" customHeight="1">
      <x:c r="A70" s="14" t="str">
        <x:v>V07</x:v>
      </x:c>
      <x:c r="B70" s="14" t="str">
        <x:v>PASS</x:v>
      </x:c>
      <x:c r="C70" s="14" t="str">
        <x:v>Sublease receivable</x:v>
      </x:c>
      <x:c r="D70" s="14" t="str">
        <x:v>£200.4m</x:v>
      </x:c>
      <x:c r="E70" s="14" t="str">
        <x:v>Noncurrent £182.7m plus current £17.7m; treat separate from operating FCFF, subject to valuation perimeter.</x:v>
      </x:c>
      <x:c r="F70" s="14" t="str">
        <x:v>Verified balance</x:v>
      </x:c>
      <x:c r="G70" s="14" t="str">
        <x:v>FY2025 annual report p136</x:v>
      </x:c>
      <x:c r="M70" s="64" t="str">
        <x:v>MODEL LIMITATIONS / EVIDENCE BOUNDARY</x:v>
      </x:c>
      <x:c r="N70" s="64" t="str">
        <x:v>Priority</x:v>
      </x:c>
      <x:c r="O70" s="64" t="str">
        <x:v>Status / consequence</x:v>
      </x:c>
    </x:row>
    <x:row r="71" ht="42" customHeight="1">
      <x:c r="A71" s="14" t="str">
        <x:v>V08</x:v>
      </x:c>
      <x:c r="B71" s="14" t="str">
        <x:v>PASS</x:v>
      </x:c>
      <x:c r="C71" s="14" t="str">
        <x:v>FCFF independent recalculation</x:v>
      </x:c>
      <x:c r="D71" s="14" t="str">
        <x:v>FY2026 £70.62m; FY2030 £89.21m</x:v>
      </x:c>
      <x:c r="E71" s="14" t="str">
        <x:v>Updated after operating working-capital reconciliation; FCFF = NOPAT + PPE D&amp;A + ROU D&amp;A - CapEx - ΔNWC.</x:v>
      </x:c>
      <x:c r="F71" s="14" t="str">
        <x:v>Verified arithmetic</x:v>
      </x:c>
      <x:c r="G71" s="14" t="str">
        <x:v>DCF!G7:K15, Cash Flow!G14:K19</x:v>
      </x:c>
      <x:c r="M71" t="str">
        <x:v>Future borrowings and contractual lease schedules</x:v>
      </x:c>
      <x:c r="N71" t="str">
        <x:v>HIGH</x:v>
      </x:c>
      <x:c r="O71" t="str">
        <x:v>Constant debt, head lease and sublease receivable simplifying forecasts; not a refinancing/lease-maturity model.</x:v>
      </x:c>
    </x:row>
    <x:row r="72" ht="42" customHeight="1">
      <x:c r="A72" s="14" t="str">
        <x:v>V09</x:v>
      </x:c>
      <x:c r="B72" s="14" t="str">
        <x:v>PASS</x:v>
      </x:c>
      <x:c r="C72" s="14" t="str">
        <x:v>WACC arithmetic</x:v>
      </x:c>
      <x:c r="D72" s="14" t="str">
        <x:v>7.3068%</x:v>
      </x:c>
      <x:c r="E72" s="14" t="str">
        <x:v>CAPM and weighted debt/lease financing, taxes and market weights recomputed separately.</x:v>
      </x:c>
      <x:c r="F72" s="14" t="str">
        <x:v>Verified arithmetic</x:v>
      </x:c>
      <x:c r="G72" s="14" t="str">
        <x:v>Assumptions!B26:B44</x:v>
      </x:c>
      <x:c r="M72" t="str">
        <x:v>Terminal FCFF / lease renewal economics</x:v>
      </x:c>
      <x:c r="N72" t="str">
        <x:v>HIGH</x:v>
      </x:c>
      <x:c r="O72" t="str">
        <x:v>No independently verified perpetual lease reinvestment; terminal share price is assumption-sensitive.</x:v>
      </x:c>
    </x:row>
    <x:row r="73" ht="42" customHeight="1">
      <x:c r="A73" s="14" t="str">
        <x:v>V10</x:v>
      </x:c>
      <x:c r="B73" s="14" t="str">
        <x:v>PASS</x:v>
      </x:c>
      <x:c r="C73" s="14" t="str">
        <x:v>Discounting / terminal valuation</x:v>
      </x:c>
      <x:c r="D73" s="14" t="str">
        <x:v>EV £1,531.37m</x:v>
      </x:c>
      <x:c r="E73" s="14" t="str">
        <x:v>Reconstructed explicit FCFF PV £326.23m plus terminal PV £1,205.14m, updated 2026–2030 working capital.</x:v>
      </x:c>
      <x:c r="F73" s="14" t="str">
        <x:v>Verified arithmetic</x:v>
      </x:c>
      <x:c r="G73" s="14" t="str">
        <x:v>DCF!B25:B31</x:v>
      </x:c>
      <x:c r="M73" t="str">
        <x:v>Pre-announcement market price vs FY2025 audited figures</x:v>
      </x:c>
      <x:c r="N73" t="str">
        <x:v>HIGH</x:v>
      </x:c>
      <x:c r="O73" t="str">
        <x:v>Retrospective exercise; March 2026-published accounts not available 24 December 2025.</x:v>
      </x:c>
    </x:row>
    <x:row r="74" ht="42" customHeight="1">
      <x:c r="A74" s="14" t="str">
        <x:v>V11</x:v>
      </x:c>
      <x:c r="B74" s="14" t="str">
        <x:v>PASS</x:v>
      </x:c>
      <x:c r="C74" s="14" t="str">
        <x:v>Enterprise-to-equity conversion</x:v>
      </x:c>
      <x:c r="D74" s="14" t="str">
        <x:v>316.69 p/share</x:v>
      </x:c>
      <x:c r="E74" s="14" t="str">
        <x:v>EV less £284.6m net borrowings, less £240.1m leases, plus £200.4m finance subleases, divide by 381.157777m.</x:v>
      </x:c>
      <x:c r="F74" s="14" t="str">
        <x:v>Verified arithmetic</x:v>
      </x:c>
      <x:c r="G74" s="14" t="str">
        <x:v>DCF!B34:B39</x:v>
      </x:c>
      <x:c r="M74" t="str">
        <x:v>Revenue conversion and new-store productivity</x:v>
      </x:c>
      <x:c r="N74" t="str">
        <x:v>MEDIUM</x:v>
      </x:c>
      <x:c r="O74" t="str">
        <x:v>FY2025 group revenue/system-sales ratio projected constant; can change as mix and supply chain economics change.</x:v>
      </x:c>
    </x:row>
    <x:row r="75" ht="42" customHeight="1">
      <x:c r="A75" s="14" t="str">
        <x:v>V12</x:v>
      </x:c>
      <x:c r="B75" s="14" t="str">
        <x:v>PASS</x:v>
      </x:c>
      <x:c r="C75" s="14" t="str">
        <x:v>WACC / growth matrix</x:v>
      </x:c>
      <x:c r="D75" s="14" t="str">
        <x:v>Live formulas</x:v>
      </x:c>
      <x:c r="E75" s="14" t="str">
        <x:v>Independent WACC-growth cell reproduces main DCF at selected inputs; valid for WACC greater than g.</x:v>
      </x:c>
      <x:c r="F75" s="14" t="str">
        <x:v>Verified arithmetic</x:v>
      </x:c>
      <x:c r="G75" s="14" t="str">
        <x:v>Sensitivity!D9</x:v>
      </x:c>
      <x:c r="M75" t="str">
        <x:v>Normalization / cost of capital proxies</x:v>
      </x:c>
      <x:c r="N75" t="str">
        <x:v>MEDIUM</x:v>
      </x:c>
      <x:c r="O75" t="str">
        <x:v>Analyst-defined EBIT bridge, ERP, borrowing proxy and CapEx; transparently challenge in valuation discussion.</x:v>
      </x:c>
    </x:row>
    <x:row r="76" ht="42" customHeight="1">
      <x:c r="A76" s="14" t="str">
        <x:v>[Audit policy: PASS CONDITIONAL means formula integrity verified with disclosed economic limitations; no investment conclusion is forced.]</x:v>
      </x:c>
      <x:c r="B76" s="14" t="str">
        <x:v>REMEDIATED</x:v>
      </x:c>
      <x:c r="C76" s="14" t="str">
        <x:v>Downside/base/upside formulas</x:v>
      </x:c>
      <x:c r="D76" s="14" t="str">
        <x:v>Previously fixed snapshots</x:v>
      </x:c>
      <x:c r="E76" s="14" t="str">
        <x:v>Replaced fixed downside/upside data with live formula-based operating shocks; clearly label shocks illustrative.</x:v>
      </x:c>
      <x:c r="F76" s="14" t="str">
        <x:v>Corrected</x:v>
      </x:c>
      <x:c r="G76" s="14" t="str">
        <x:v>Sensitivity!B18:D40</x:v>
      </x:c>
    </x:row>
    <x:row r="77" ht="42" customHeight="1">
      <x:c r="A77" s="14" t="str">
        <x:v>V14</x:v>
      </x:c>
      <x:c r="B77" s="14" t="str">
        <x:v>REMEDIATED</x:v>
      </x:c>
      <x:c r="C77" s="14" t="str">
        <x:v>Reverse DCF</x:v>
      </x:c>
      <x:c r="D77" s="14" t="str">
        <x:v>Previously absent</x:v>
      </x:c>
      <x:c r="E77" s="14" t="str">
        <x:v>Added market-price-implied FY2030 sustainable FCFF inversion; fixed explicit forecast and discount rate.</x:v>
      </x:c>
      <x:c r="F77" s="14" t="str">
        <x:v>Corrected</x:v>
      </x:c>
      <x:c r="G77" s="14" t="str">
        <x:v>Sensitivity!B44:B54</x:v>
      </x:c>
    </x:row>
    <x:row r="78" ht="51" customHeight="1">
      <x:c r="A78" s="14" t="str">
        <x:v>V15</x:v>
      </x:c>
      <x:c r="B78" s="14" t="str">
        <x:v>PASS CONDITIONAL</x:v>
      </x:c>
      <x:c r="C78" s="14" t="str">
        <x:v>Forecast BS independent tie</x:v>
      </x:c>
      <x:c r="D78" s="14" t="str">
        <x:v>Zero forecast equity gaps</x:v>
      </x:c>
      <x:c r="E78" s="14" t="str">
        <x:v>Balance sheet ties through simple cash, WC and asset rolls; assumed constant borrowing/lease principal is economic limitation.</x:v>
      </x:c>
      <x:c r="F78" s="14" t="str">
        <x:v>OPEN</x:v>
      </x:c>
      <x:c r="G78" s="14" t="str">
        <x:v>Balance Sheet!G27:K28</x:v>
      </x:c>
    </x:row>
    <x:row r="79" ht="51" customHeight="1">
      <x:c r="A79" s="14" t="str">
        <x:v>V16</x:v>
      </x:c>
      <x:c r="B79" s="14" t="str">
        <x:v>HIGH</x:v>
      </x:c>
      <x:c r="C79" s="14" t="str">
        <x:v>Valuation date / information timing</x:v>
      </x:c>
      <x:c r="D79" s="14" t="str">
        <x:v>Look-ahead risk</x:v>
      </x:c>
      <x:c r="E79" s="14" t="str">
        <x:v>FY2025 audited statements published March 2026; 24 Dec 2025 price comparison is retrospective, not contemporaneous investable insight.</x:v>
      </x:c>
      <x:c r="F79" s="14" t="str">
        <x:v>OPEN disclosure</x:v>
      </x:c>
      <x:c r="G79" s="14" t="str">
        <x:v>FY2025 report approval 9 Mar 2026</x:v>
      </x:c>
    </x:row>
    <x:row r="80" ht="51" customHeight="1">
      <x:c r="A80" s="14" t="str">
        <x:v>V17</x:v>
      </x:c>
      <x:c r="B80" s="14" t="str">
        <x:v>REMEDIATED</x:v>
      </x:c>
      <x:c r="C80" s="14" t="str">
        <x:v>FY2025 normalization bridge</x:v>
      </x:c>
      <x:c r="D80" s="14" t="str">
        <x:v>96.3m formula based</x:v>
      </x:c>
      <x:c r="E80" s="14" t="str">
        <x:v>See Income Statement M29:N42; adjusted basis retains some one-offs and is not management underlying EBIT.</x:v>
      </x:c>
      <x:c r="F80" s="14" t="str">
        <x:v>OPEN</x:v>
      </x:c>
      <x:c r="G80" s="14" t="str">
        <x:v>FY2025 income statement p134</x:v>
      </x:c>
    </x:row>
    <x:row r="81" ht="51" customHeight="1">
      <x:c r="A81" s="14" t="str">
        <x:v>V18</x:v>
      </x:c>
      <x:c r="B81" s="14" t="str">
        <x:v>HIGH</x:v>
      </x:c>
      <x:c r="C81" s="14" t="str">
        <x:v>Forecast balance sheet modeling</x:v>
      </x:c>
      <x:c r="D81" s="14" t="str">
        <x:v>Simplified not forecast IFRS</x:v>
      </x:c>
      <x:c r="E81" s="14" t="str">
        <x:v>Borrowings, leases, sublease assets and noncash items substantially held constant; cash forecast omits major financing flows.</x:v>
      </x:c>
      <x:c r="F81" s="14" t="str">
        <x:v>OPEN</x:v>
      </x:c>
      <x:c r="G81" s="14" t="str">
        <x:v>Cash Flow!G21:K26</x:v>
      </x:c>
    </x:row>
    <x:row r="82" ht="42" customHeight="1">
      <x:c r="A82" s="14" t="str">
        <x:v>V19</x:v>
      </x:c>
      <x:c r="B82" s="14" t="str">
        <x:v>MEDIUM</x:v>
      </x:c>
      <x:c r="C82" s="14" t="str">
        <x:v>WACC evidence</x:v>
      </x:c>
      <x:c r="D82" s="14" t="str">
        <x:v>ERP 5% assumed</x:v>
      </x:c>
      <x:c r="E82" s="14" t="str">
        <x:v>2025 gilt proxy, five-year beta, lease borrowing rate and refinancing spread require individually documented historical series/date methodology.</x:v>
      </x:c>
      <x:c r="F82" s="14" t="str">
        <x:v>OPEN judgment</x:v>
      </x:c>
      <x:c r="G82" s="14" t="str">
        <x:v>Assumptions!B26:B44</x:v>
      </x:c>
    </x:row>
    <x:row r="83" ht="42" customHeight="1">
      <x:c r="A83" s="14" t="str">
        <x:v>V20</x:v>
      </x:c>
      <x:c r="B83" s="14" t="str">
        <x:v>MEDIUM</x:v>
      </x:c>
      <x:c r="C83" s="14" t="str">
        <x:v>Historical comparison</x:v>
      </x:c>
      <x:c r="D83" s="14" t="str">
        <x:v>Five years partial spot checks</x:v>
      </x:c>
      <x:c r="E83" s="14" t="str">
        <x:v>FY2024 &amp; FY2025 audited source lines spot-checked, FY2021 sample; FY2022–23 full line-by-line recast and restatement verification not performed.</x:v>
      </x:c>
      <x:c r="F83" s="14" t="str">
        <x:v>OPEN</x:v>
      </x:c>
      <x:c r="G83" s="14" t="str">
        <x:v>FY2021 and FY2025 reports</x:v>
      </x:c>
    </x:row>
    <x:row r="84" ht="42" customHeight="1">
      <x:c r="A84" s="14" t="str">
        <x:v>V21</x:v>
      </x:c>
      <x:c r="B84" s="14" t="str">
        <x:v>MEDIUM</x:v>
      </x:c>
      <x:c r="C84" s="14" t="str">
        <x:v>Terminal economics</x:v>
      </x:c>
      <x:c r="D84" s="14" t="str">
        <x:v>~79% of EV</x:v>
      </x:c>
      <x:c r="E84" s="14" t="str">
        <x:v>2% perpetuity growth, ROU renewal reinvestment, sublease recoverability and long-run margins remain uncertain.</x:v>
      </x:c>
      <x:c r="F84" s="14" t="str">
        <x:v>OPEN judgment</x:v>
      </x:c>
      <x:c r="G84" s="14" t="str">
        <x:v>DCF!B25:B43</x:v>
      </x:c>
    </x:row>
    <x:row r="85" ht="42" customHeight="1">
      <x:c r="A85" s="14" t="str">
        <x:v>V22</x:v>
      </x:c>
      <x:c r="B85" s="14" t="str">
        <x:v>PASS CONDITIONAL</x:v>
      </x:c>
      <x:c r="C85" s="14" t="str">
        <x:v>FY2025 share denominator</x:v>
      </x:c>
      <x:c r="D85" s="14" t="str">
        <x:v>381.157777m formula-linked</x:v>
      </x:c>
      <x:c r="E85" s="14" t="str">
        <x:v>FY2025 annual report note 26: 384.868623m issued less 3.710846m EBT; potential award dilution not forecast.</x:v>
      </x:c>
      <x:c r="F85" s="14" t="str">
        <x:v>OPEN</x:v>
      </x:c>
      <x:c r="G85" s="14" t="str">
        <x:v>Assumptions!B8</x:v>
      </x:c>
    </x:row>
    <x:row r="86" ht="42" customHeight="1">
      <x:c r="A86" s="14" t="str">
        <x:v>V23</x:v>
      </x:c>
      <x:c r="B86" s="14" t="str">
        <x:v>MEDIUM</x:v>
      </x:c>
      <x:c r="C86" s="14" t="str">
        <x:v>Operating scenario validity</x:v>
      </x:c>
      <x:c r="D86" s="14" t="str">
        <x:v>Analyst-defined shocks</x:v>
      </x:c>
      <x:c r="E86" s="14" t="str">
        <x:v>Live sensitivity formulas now work, but margin, CapEx and NWC shocks are unverified hypothetical scenarios.</x:v>
      </x:c>
      <x:c r="F86" s="14" t="str">
        <x:v>OPEN judgment</x:v>
      </x:c>
      <x:c r="G86" s="14" t="str">
        <x:v>Sensitivity!B37:D41</x:v>
      </x:c>
    </x:row>
    <x:row r="87" ht="42" customHeight="1">
      <x:c r="A87" s="14" t="str">
        <x:v>V24</x:v>
      </x:c>
      <x:c r="B87" s="14" t="str">
        <x:v>MEDIUM</x:v>
      </x:c>
      <x:c r="C87" s="14" t="str">
        <x:v>Sector benchmarking</x:v>
      </x:c>
      <x:c r="D87" s="14" t="str">
        <x:v>FY2025 EBITDA decline</x:v>
      </x:c>
      <x:c r="E87" s="14" t="str">
        <x:v>FY2025 underlying EBITDA fell 6.6%; robust longer-run peer margin/capital intensity benchmarking not fully established.</x:v>
      </x:c>
      <x:c r="F87" s="14" t="str">
        <x:v>OPEN</x:v>
      </x:c>
      <x:c r="G87" s="14" t="str">
        <x:v>FY2025 Preliminary Results 10 Mar 2026</x:v>
      </x:c>
    </x:row>
    <x:row r="89">
      <x:c r="A89" t="str">
        <x:v>AUDIT OUTCOME</x:v>
      </x:c>
      <x:c r="B89" t="str">
        <x:v>QUALIFIED / CORE ARITHMETIC PASS</x:v>
      </x:c>
      <x:c r="C89" t="str">
        <x:v>Retrospective portfolio valuation</x:v>
      </x:c>
      <x:c r="D89" t="str">
        <x:v>See live checks Assumptions M52:O75</x:v>
      </x:c>
      <x:c r="E89" t="str">
        <x:v>Core DCF and model ties verified; economic/financing forecasts remain assumption-dependent.</x:v>
      </x:c>
    </x:row>
    <x:row r="90" ht="52" customHeight="1">
      <x:c r="A90" s="14" t="str">
        <x:v>Historical FY2025 figures source-checked; five-year financing and lease maturities not independently forecast. Model checks are live on this sheet; valuation is not investment advice.</x:v>
      </x:c>
      <x:c r="B90" s="14"/>
      <x:c r="C90" s="14"/>
      <x:c r="D90" s="14"/>
      <x:c r="E90" s="14"/>
      <x:c r="F90" s="14"/>
      <x:c r="G90" s="14"/>
    </x:row>
    <x:row r="92">
      <x:c r="A92" t="str">
        <x:v>V25</x:v>
      </x:c>
      <x:c r="B92" t="str">
        <x:v>REMEDIATED</x:v>
      </x:c>
      <x:c r="C92" t="str">
        <x:v>Forecast growth outputs</x:v>
      </x:c>
      <x:c r="D92" t="str">
        <x:v>Five annual growth values now formulas</x:v>
      </x:c>
      <x:c r="E92" t="str">
        <x:v>Annual net stores and LFL feed year-end and average stores, annual system-sales growth and revenue; historical store counts are input disclosures.</x:v>
      </x:c>
    </x:row>
    <x:row r="93">
      <x:c r="A93" t="str">
        <x:v>V26</x:v>
      </x:c>
      <x:c r="B93" t="str">
        <x:v>REMEDIATED</x:v>
      </x:c>
      <x:c r="C93" t="str">
        <x:v>Revenue-to-system-sales ratio</x:v>
      </x:c>
      <x:c r="D93" t="str">
        <x:v>Derived from reported FY2025</x:v>
      </x:c>
      <x:c r="E93" t="str">
        <x:v>All forecast years reference a single historical calculated ratio; no five repeated numeric constants.</x:v>
      </x:c>
    </x:row>
    <x:row r="94">
      <x:c r="A94" t="str">
        <x:v>V27</x:v>
      </x:c>
      <x:c r="B94" t="str">
        <x:v>REMEDIATED</x:v>
      </x:c>
      <x:c r="C94" t="str">
        <x:v>Margin transition</x:v>
      </x:c>
      <x:c r="D94" t="str">
        <x:v>Formula-interpolated FY2025→FY2030</x:v>
      </x:c>
      <x:c r="E94" t="str">
        <x:v>FY2030 target remains editable; annual operating margins are calculated rather than copied forecast outputs.</x:v>
      </x:c>
    </x:row>
    <x:row r="95">
      <x:c r="A95" t="str">
        <x:v>V28</x:v>
      </x:c>
      <x:c r="B95" t="str">
        <x:v>REMEDIATED</x:v>
      </x:c>
      <x:c r="C95" t="str">
        <x:v>Forecast D&amp;A and NWC ratios</x:v>
      </x:c>
      <x:c r="D95" t="str">
        <x:v>Formula-linked to base values</x:v>
      </x:c>
      <x:c r="E95" t="str">
        <x:v>Cash-flow depreciation proxies preserved as labeled assumptions; NWC ratio recalculated from the source-classified FY2025 balance sheet.</x:v>
      </x:c>
    </x:row>
    <x:row r="96">
      <x:c r="A96" t="str">
        <x:v>V29</x:v>
      </x:c>
      <x:c r="B96" t="str">
        <x:v>PASS</x:v>
      </x:c>
      <x:c r="C96" t="str">
        <x:v>Downside/base/upside control mapping</x:v>
      </x:c>
      <x:c r="D96" t="str">
        <x:v>Scenarios link N16:P19 as labeled</x:v>
      </x:c>
      <x:c r="E96" t="str">
        <x:v>Scenario growth, margin, CapEx and NWC shock links rechecked; active scenario share prices remain calculated.</x:v>
      </x:c>
    </x:row>
    <x:row r="97">
      <x:c r="A97" t="str">
        <x:v>V30</x:v>
      </x:c>
      <x:c r="B97" t="str">
        <x:v>PASS CONDITIONAL</x:v>
      </x:c>
      <x:c r="C97" t="str">
        <x:v>Simplified forecast BS vs equity</x:v>
      </x:c>
      <x:c r="D97" t="str">
        <x:v>Zero difference after repairs</x:v>
      </x:c>
      <x:c r="E97" t="str">
        <x:v>Debt/leases/sublease held flat: algebraic balance now passes, not independently modelled financing movements.</x:v>
      </x:c>
    </x:row>
    <x:row r="98">
      <x:c r="A98" t="str">
        <x:v>V31</x:v>
      </x:c>
      <x:c r="B98" t="str">
        <x:v>OPEN MEDIUM</x:v>
      </x:c>
      <x:c r="C98" t="str">
        <x:v>Historical / analyst inputs</x:v>
      </x:c>
      <x:c r="D98" t="str">
        <x:v>Intentional editable hardcodes</x:v>
      </x:c>
      <x:c r="E98" t="str">
        <x:v>Reported audited financials, annual CapEx assumptions, LFL, net stores, WACC proxies, dilution and scenario inputs remain independently editable.</x:v>
      </x:c>
    </x:row>
    <x:row r="99">
      <x:c r="A99" t="str">
        <x:v>V32</x:v>
      </x:c>
      <x:c r="B99" t="str">
        <x:v>OPEN HIGH</x:v>
      </x:c>
      <x:c r="C99" t="str">
        <x:v>Long-run lease and terminal FCFF</x:v>
      </x:c>
      <x:c r="D99" t="str">
        <x:v>Sustainable FCFF remains uncertain</x:v>
      </x:c>
      <x:c r="E99" t="str">
        <x:v>Audited head lease/sublease 2025 bridge reconciles; perpetuity requires separate economic reasoning.</x:v>
      </x:c>
    </x:row>
    <x:row r="100">
      <x:c r="A100" t="str">
        <x:v>V33</x:v>
      </x:c>
      <x:c r="B100" t="str">
        <x:v>REMEDIATED</x:v>
      </x:c>
      <x:c r="C100" t="str">
        <x:v>FY2025 analyst EBIT bridge</x:v>
      </x:c>
      <x:c r="D100" t="str">
        <x:v>Formula-linked to FY2025 statutory earnings</x:v>
      </x:c>
      <x:c r="E100" t="str">
        <x:v>Normalization 101.1 + 10.4 -1.4 -9.9 -1.5 -2.4 = 96.3; transaction/amortization retained, source and policy disclosed.</x:v>
      </x:c>
    </x:row>
    <x:row r="101">
      <x:c r="A101" t="str">
        <x:v>V34</x:v>
      </x:c>
      <x:c r="B101" t="str">
        <x:v>REMEDIATED</x:v>
      </x:c>
      <x:c r="C101" t="str">
        <x:v>Historical EBIT anchor hardcode</x:v>
      </x:c>
      <x:c r="D101" t="str">
        <x:v>Income Statement F14 now links to transparent bridge</x:v>
      </x:c>
      <x:c r="E101" t="str">
        <x:v>EBIT margin and downstream cash flows continue to calculate from reconciled analyst figure.</x:v>
      </x:c>
    </x:row>
    <x:row r="102">
      <x:c r="A102" t="str">
        <x:v>V35</x:v>
      </x:c>
      <x:c r="B102" t="str">
        <x:v>REMEDIATED</x:v>
      </x:c>
      <x:c r="C102" t="str">
        <x:v>Projected retained earnings continuity</x:v>
      </x:c>
      <x:c r="D102" t="str">
        <x:v>H28:K28 now use prior-year forecast equity roll</x:v>
      </x:c>
      <x:c r="E102" t="str">
        <x:v>Prior formulas used prior-year net assets (H28 = G9 + profit - dividends) rather than prior forecast equity (G28).</x:v>
      </x:c>
    </x:row>
    <x:row r="103">
      <x:c r="A103" t="str">
        <x:v>V36</x:v>
      </x:c>
      <x:c r="B103" t="str">
        <x:v>PASS CONDITIONAL</x:v>
      </x:c>
      <x:c r="C103" t="str">
        <x:v>Head lease / finance sublease perimeter</x:v>
      </x:c>
      <x:c r="D103" t="str">
        <x:v>Lease note check added to DCF M33:N53</x:v>
      </x:c>
      <x:c r="E103" t="str">
        <x:v>Reported £240.1m liability and £200.4m receivable, sublease interest £12.7m and cash receipts £29.9m; timing / renewal economics remain open.</x:v>
      </x:c>
    </x:row>
    <x:row r="104">
      <x:c r="A104" t="str">
        <x:v>V37</x:v>
      </x:c>
      <x:c r="B104" t="str">
        <x:v>PASS CONDITIONAL</x:v>
      </x:c>
      <x:c r="C104" t="str">
        <x:v>Forecast BS independently ties</x:v>
      </x:c>
      <x:c r="D104" t="str">
        <x:v>G27:K27 zero by reconciliation</x:v>
      </x:c>
      <x:c r="E104" t="str">
        <x:v>Not an IFRS-complete forecast: leases, borrowings, subleases and other liabilities remain flat.</x:v>
      </x:c>
    </x:row>
    <x:row r="105">
      <x:c r="A105" t="str">
        <x:v>V38</x:v>
      </x:c>
      <x:c r="B105" t="str">
        <x:v>OPEN HIGH</x:v>
      </x:c>
      <x:c r="C105" t="str">
        <x:v>Future lease-reinvestment sustainability</x:v>
      </x:c>
      <x:c r="D105" t="str">
        <x:v>Economic uncertainty is not a spreadsheet error</x:v>
      </x:c>
      <x:c r="E105" t="str">
        <x:v>No verified cash-equivalent renewal expense; avoid double counting head lease repayments within debt-inclusive FCFF.</x:v>
      </x:c>
    </x:row>
    <x:row r="106">
      <x:c r="A106" t="str">
        <x:v>V39</x:v>
      </x:c>
      <x:c r="B106" t="str">
        <x:v>REMEDIATED</x:v>
      </x:c>
      <x:c r="C106" t="str">
        <x:v>Forecast NWC cross-statement mismatch</x:v>
      </x:c>
      <x:c r="D106" t="str">
        <x:v>Working-capital movements use exactly BS inventory, receivables and payables changes</x:v>
      </x:c>
      <x:c r="E106" t="str">
        <x:v>Starting historical core NWC is retained, with other operating classifications held flat; forecast ΔNWC matches modeled balance-sheet components.</x:v>
      </x:c>
    </x:row>
    <x:row r="107">
      <x:c r="A107" t="str">
        <x:v>V40</x:v>
      </x:c>
      <x:c r="B107" t="str">
        <x:v>REMEDIATED</x:v>
      </x:c>
      <x:c r="C107" t="str">
        <x:v>ROU depreciation absent from asset roll</x:v>
      </x:c>
      <x:c r="D107" t="str">
        <x:v>Aggregated noncash assets now deduct forecast ROU depreciation</x:v>
      </x:c>
      <x:c r="E107" t="str">
        <x:v>ROU depreciation added back for FCFF and deducted from carrying assets, consistent within simplified forecast.</x:v>
      </x:c>
    </x:row>
    <x:row r="108">
      <x:c r="A108" t="str">
        <x:v>V41</x:v>
      </x:c>
      <x:c r="B108" t="str">
        <x:v>PASS</x:v>
      </x:c>
      <x:c r="C108" t="str">
        <x:v>Independent BS/equity tie</x:v>
      </x:c>
      <x:c r="D108" t="str">
        <x:v>Five zero-difference checks</x:v>
      </x:c>
      <x:c r="E108" t="str">
        <x:v>Assumptions N56:N60 evaluate live and change with model inputs.</x:v>
      </x:c>
    </x:row>
    <x:row r="109">
      <x:c r="A109" t="str">
        <x:v>V42</x:v>
      </x:c>
      <x:c r="B109" t="str">
        <x:v>OPEN</x:v>
      </x:c>
      <x:c r="C109" t="str">
        <x:v>Lease/debt future financing schedules</x:v>
      </x:c>
      <x:c r="D109" t="str">
        <x:v>Simplified debt and lease liabilities held constant</x:v>
      </x:c>
      <x:c r="E109" t="str">
        <x:v>No claim that maturities, refinance, sublease receipts, buybacks and renewal capex have been independently forecast.</x:v>
      </x:c>
    </x:row>
    <x:row r="110">
      <x:c r="A110" t="str">
        <x:v>V43</x:v>
      </x:c>
      <x:c r="B110" t="str">
        <x:v>PASS</x:v>
      </x:c>
      <x:c r="C110" t="str">
        <x:v>Scenario and WACC/g sensitivity</x:v>
      </x:c>
      <x:c r="D110" t="str">
        <x:v>Base equals main DCF</x:v>
      </x:c>
      <x:c r="E110" t="str">
        <x:v>Live checks Assumptions N62:N63, scenarios formulas link N16:P19 operating shocks.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3" max="13" width="51" hidden="0" customWidth="1"/>
    <x:col min="14" max="14" width="37" hidden="0" customWidth="1"/>
  </x:cols>
  <x:sheetData>
    <x:row r="1" ht="29" customHeight="1">
      <x:c r="A1" s="3" t="str">
        <x:v>INCOME STATEMENT | HISTORICAL &amp; FORECAST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1" customHeight="1">
      <x:c r="A2" s="3" t="str">
        <x:v>Domino’s Pizza Group plc | GBP millions, except per-share data and percentages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 ht="23" customHeight="1">
      <x:c r="A4" s="7"/>
      <x:c r="B4" s="7" t="str">
        <x:v>FY2021A</x:v>
      </x:c>
      <x:c r="C4" s="7" t="str">
        <x:v>FY2022A</x:v>
      </x:c>
      <x:c r="D4" s="7" t="str">
        <x:v>FY2023A</x:v>
      </x:c>
      <x:c r="E4" s="7" t="str">
        <x:v>FY2024A</x:v>
      </x:c>
      <x:c r="F4" s="7" t="str">
        <x:v>FY2025A</x:v>
      </x:c>
      <x:c r="G4" s="7" t="str">
        <x:v>FY2026E</x:v>
      </x:c>
      <x:c r="H4" s="7" t="str">
        <x:v>FY2027E</x:v>
      </x:c>
      <x:c r="I4" s="7" t="str">
        <x:v>FY2028E</x:v>
      </x:c>
      <x:c r="J4" s="7" t="str">
        <x:v>FY2029E</x:v>
      </x:c>
      <x:c r="K4" s="7" t="str">
        <x:v>FY2030E</x:v>
      </x:c>
    </x:row>
    <x:row r="5">
      <x:c r="B5" s="16"/>
      <x:c r="C5" s="16"/>
      <x:c r="D5" s="16"/>
      <x:c r="E5" s="16"/>
      <x:c r="F5" s="16"/>
      <x:c r="G5" s="16"/>
      <x:c r="H5" s="16"/>
      <x:c r="I5" s="16"/>
      <x:c r="J5" s="16"/>
      <x:c r="K5" s="16"/>
    </x:row>
    <x:row r="6" ht="23" customHeight="1">
      <x:c r="A6" s="11" t="str">
        <x:v>OPERATING PERFORMANCE</x:v>
      </x:c>
      <x:c r="B6" s="17"/>
      <x:c r="C6" s="17"/>
      <x:c r="D6" s="17"/>
      <x:c r="E6" s="17"/>
      <x:c r="F6" s="17"/>
      <x:c r="G6" s="17"/>
      <x:c r="H6" s="17"/>
      <x:c r="I6" s="17"/>
      <x:c r="J6" s="17"/>
      <x:c r="K6" s="17"/>
    </x:row>
    <x:row r="7">
      <x:c r="A7" t="str">
        <x:v>System sales</x:v>
      </x:c>
      <x:c r="B7" s="16" t="n">
        <x:v>1499.1</x:v>
      </x:c>
      <x:c r="C7" s="16" t="n">
        <x:v>1456.4</x:v>
      </x:c>
      <x:c r="D7" s="16" t="n">
        <x:v>1571.7</x:v>
      </x:c>
      <x:c r="E7" s="16" t="n">
        <x:v>1571.5</x:v>
      </x:c>
      <x:c r="F7" s="16" t="n">
        <x:v>1595.6</x:v>
      </x:c>
      <x:c r="G7" s="16" t="n">
        <x:f>F7*(1+Assumptions!G16)</x:f>
        <x:v>1652.8481241429083</x:v>
      </x:c>
      <x:c r="H7" s="16" t="n">
        <x:f>G7*(1+Assumptions!H16)</x:f>
        <x:v>1713.2343575893171</x:v>
      </x:c>
      <x:c r="I7" s="16" t="n">
        <x:f>H7*(1+Assumptions!I16)</x:f>
        <x:v>1775.0602872111863</x:v>
      </x:c>
      <x:c r="J7" s="16" t="n">
        <x:f>I7*(1+Assumptions!J16)</x:f>
        <x:v>1838.355516991254</x:v>
      </x:c>
      <x:c r="K7" s="16" t="n">
        <x:f>J7*(1+Assumptions!K16)</x:f>
        <x:v>1903.150215100101</x:v>
      </x:c>
    </x:row>
    <x:row r="8">
      <x:c r="A8" t="str">
        <x:v>Group revenue</x:v>
      </x:c>
      <x:c r="B8" s="16" t="n">
        <x:v>560.8</x:v>
      </x:c>
      <x:c r="C8" s="16" t="n">
        <x:v>600.3</x:v>
      </x:c>
      <x:c r="D8" s="16" t="n">
        <x:v>679.8</x:v>
      </x:c>
      <x:c r="E8" s="16" t="n">
        <x:v>664.5</x:v>
      </x:c>
      <x:c r="F8" s="16" t="n">
        <x:v>685.4</x:v>
      </x:c>
      <x:c r="G8" s="16" t="n">
        <x:f>G7*Assumptions!G17</x:f>
        <x:v>709.9912912306025</x:v>
      </x:c>
      <x:c r="H8" s="16" t="n">
        <x:f>H7*Assumptions!H17</x:f>
        <x:v>735.9305770191264</x:v>
      </x:c>
      <x:c r="I8" s="16" t="n">
        <x:f>I7*Assumptions!I17</x:f>
        <x:v>762.4882933407791</x:v>
      </x:c>
      <x:c r="J8" s="16" t="n">
        <x:f>J7*Assumptions!J17</x:f>
        <x:v>789.6771567722521</x:v>
      </x:c>
      <x:c r="K8" s="16" t="n">
        <x:f>K7*Assumptions!K17</x:f>
        <x:v>817.5101262406677</x:v>
      </x:c>
    </x:row>
    <x:row r="9">
      <x:c r="A9" t="str">
        <x:v>Revenue growth</x:v>
      </x:c>
      <x:c r="B9" s="30"/>
      <x:c r="C9" s="16" t="n">
        <x:f>C8/B8-1</x:f>
        <x:v>0.07043509272467907</x:v>
      </x:c>
      <x:c r="D9" s="16" t="n">
        <x:f>D8/C8-1</x:f>
        <x:v>0.1324337831084459</x:v>
      </x:c>
      <x:c r="E9" s="16" t="n">
        <x:f>E8/D8-1</x:f>
        <x:v>-0.022506619593998134</x:v>
      </x:c>
      <x:c r="F9" s="16" t="n">
        <x:f>F8/E8-1</x:f>
        <x:v>0.03145221971407075</x:v>
      </x:c>
      <x:c r="G9" s="16" t="n">
        <x:f>G8/F8-1</x:f>
        <x:v>0.03587874413569092</x:v>
      </x:c>
      <x:c r="H9" s="16" t="n">
        <x:f>H8/G8-1</x:f>
        <x:v>0.036534653465346345</x:v>
      </x:c>
      <x:c r="I9" s="16" t="n">
        <x:f>I8/H8-1</x:f>
        <x:v>0.03608725761772846</x:v>
      </x:c>
      <x:c r="J9" s="16" t="n">
        <x:f>J8/I8-1</x:f>
        <x:v>0.03565807327001336</x:v>
      </x:c>
      <x:c r="K9" s="16" t="n">
        <x:f>K8/J8-1</x:f>
        <x:v>0.03524601063829769</x:v>
      </x:c>
    </x:row>
    <x:row r="10">
      <x:c r="A10" t="str">
        <x:v>Cost of sales</x:v>
      </x:c>
      <x:c r="B10" s="16" t="n">
        <x:v>-292.2</x:v>
      </x:c>
      <x:c r="C10" s="16" t="n">
        <x:v>-326.8</x:v>
      </x:c>
      <x:c r="D10" s="16" t="n">
        <x:v>-363.6</x:v>
      </x:c>
      <x:c r="E10" s="16" t="n">
        <x:v>-345.6</x:v>
      </x:c>
      <x:c r="F10" s="16" t="n">
        <x:v>-370.7</x:v>
      </x:c>
      <x:c r="G10" s="16"/>
      <x:c r="H10" s="16"/>
      <x:c r="I10" s="16"/>
      <x:c r="J10" s="16"/>
      <x:c r="K10" s="16"/>
    </x:row>
    <x:row r="11">
      <x:c r="A11" t="str">
        <x:v>Gross profit</x:v>
      </x:c>
      <x:c r="B11" s="16" t="n">
        <x:v>268.6</x:v>
      </x:c>
      <x:c r="C11" s="16" t="n">
        <x:v>273.5</x:v>
      </x:c>
      <x:c r="D11" s="16" t="n">
        <x:v>316.2</x:v>
      </x:c>
      <x:c r="E11" s="16" t="n">
        <x:v>318.9</x:v>
      </x:c>
      <x:c r="F11" s="16" t="n">
        <x:v>314.7</x:v>
      </x:c>
      <x:c r="G11" s="16"/>
      <x:c r="H11" s="16"/>
      <x:c r="I11" s="16"/>
      <x:c r="J11" s="16"/>
      <x:c r="K11" s="16"/>
    </x:row>
    <x:row r="12">
      <x:c r="A12" t="str">
        <x:v>Distribution / administrative / other costs</x:v>
      </x:c>
      <x:c r="B12" s="16" t="n">
        <x:f>B13-B11</x:f>
        <x:v>-153.50000000000003</x:v>
      </x:c>
      <x:c r="C12" s="16" t="n">
        <x:f>C13-C11</x:f>
        <x:v>-163.7</x:v>
      </x:c>
      <x:c r="D12" s="16" t="n">
        <x:f>D13-D11</x:f>
        <x:v>-159.39999999999998</x:v>
      </x:c>
      <x:c r="E12" s="16" t="n">
        <x:f>E13-E11</x:f>
        <x:v>-176.29999999999998</x:v>
      </x:c>
      <x:c r="F12" s="16" t="n">
        <x:f>F13-F11</x:f>
        <x:v>-213.6</x:v>
      </x:c>
      <x:c r="G12" s="16"/>
      <x:c r="H12" s="16"/>
      <x:c r="I12" s="16"/>
      <x:c r="J12" s="16"/>
      <x:c r="K12" s="16"/>
    </x:row>
    <x:row r="13">
      <x:c r="A13" t="str">
        <x:v>Statutory reported EBIT (incl associates / one-offs)</x:v>
      </x:c>
      <x:c r="B13" s="16" t="n">
        <x:v>115.1</x:v>
      </x:c>
      <x:c r="C13" s="16" t="n">
        <x:v>109.8</x:v>
      </x:c>
      <x:c r="D13" s="16" t="n">
        <x:v>156.8</x:v>
      </x:c>
      <x:c r="E13" s="16" t="n">
        <x:v>142.6</x:v>
      </x:c>
      <x:c r="F13" s="16" t="n">
        <x:v>101.1</x:v>
      </x:c>
      <x:c r="G13" s="16"/>
      <x:c r="H13" s="16"/>
      <x:c r="I13" s="16"/>
      <x:c r="J13" s="16"/>
      <x:c r="K13" s="16"/>
    </x:row>
    <x:row r="14">
      <x:c r="A14" t="str">
        <x:v>Operating EBIT for DCF (normalized, excluding associates)</x:v>
      </x:c>
      <x:c r="B14" s="16" t="n">
        <x:v>108.9</x:v>
      </x:c>
      <x:c r="C14" s="16" t="n">
        <x:v>103.2</x:v>
      </x:c>
      <x:c r="D14" s="16" t="n">
        <x:v>114.2</x:v>
      </x:c>
      <x:c r="E14" s="16" t="n">
        <x:v>121.7</x:v>
      </x:c>
      <x:c r="F14" s="16" t="n">
        <x:f>$N$36</x:f>
        <x:v>96.29999999999998</x:v>
      </x:c>
      <x:c r="G14" s="16" t="n">
        <x:f>G8*Assumptions!G18</x:f>
        <x:v>99.6838546026705</x:v>
      </x:c>
      <x:c r="H14" s="16" t="n">
        <x:f>H8*Assumptions!H18</x:f>
        <x:v>103.25189746067119</x:v>
      </x:c>
      <x:c r="I14" s="16" t="n">
        <x:f>I8*Assumptions!I18</x:f>
        <x:v>106.90143721180551</x:v>
      </x:c>
      <x:c r="J14" s="16" t="n">
        <x:f>J8*Assumptions!J18</x:f>
        <x:v>110.63406922034456</x:v>
      </x:c>
      <x:c r="K14" s="16" t="n">
        <x:f>K8*Assumptions!K18</x:f>
        <x:v>114.45141767369348</x:v>
      </x:c>
    </x:row>
    <x:row r="15">
      <x:c r="A15" t="str">
        <x:v>Operating EBIT margin</x:v>
      </x:c>
      <x:c r="B15" s="30" t="n">
        <x:f>B14/B8</x:f>
        <x:v>0.19418687589158348</x:v>
      </x:c>
      <x:c r="C15" s="16" t="n">
        <x:f>C14/C8</x:f>
        <x:v>0.17191404297851076</x:v>
      </x:c>
      <x:c r="D15" s="16" t="n">
        <x:f>D14/D8</x:f>
        <x:v>0.16799058546631362</x:v>
      </x:c>
      <x:c r="E15" s="16" t="n">
        <x:f>E14/E8</x:f>
        <x:v>0.1831452219714071</x:v>
      </x:c>
      <x:c r="F15" s="16" t="n">
        <x:f>F14/F8</x:f>
        <x:v>0.14050189670265537</x:v>
      </x:c>
      <x:c r="G15" s="16" t="n">
        <x:f>G14/G8</x:f>
        <x:v>0.1404015173621243</x:v>
      </x:c>
      <x:c r="H15" s="16" t="n">
        <x:f>H14/H8</x:f>
        <x:v>0.14030113802159322</x:v>
      </x:c>
      <x:c r="I15" s="16" t="n">
        <x:f>I14/I8</x:f>
        <x:v>0.14020075868106216</x:v>
      </x:c>
      <x:c r="J15" s="16" t="n">
        <x:f>J14/J8</x:f>
        <x:v>0.14010037934053107</x:v>
      </x:c>
      <x:c r="K15" s="16" t="n">
        <x:f>K14/K8</x:f>
        <x:v>0.14</x:v>
      </x:c>
    </x:row>
    <x:row r="16">
      <x:c r="A16" t="str">
        <x:v>Tax on normalized operating EBIT (25%)</x:v>
      </x:c>
      <x:c r="B16" s="16" t="n">
        <x:f>B14*Assumptions!$B$10</x:f>
        <x:v>27.225</x:v>
      </x:c>
      <x:c r="C16" s="16" t="n">
        <x:f>C14*Assumptions!$B$10</x:f>
        <x:v>25.8</x:v>
      </x:c>
      <x:c r="D16" s="16" t="n">
        <x:f>D14*Assumptions!$B$10</x:f>
        <x:v>28.55</x:v>
      </x:c>
      <x:c r="E16" s="16" t="n">
        <x:f>E14*Assumptions!$B$10</x:f>
        <x:v>30.425</x:v>
      </x:c>
      <x:c r="F16" s="16" t="n">
        <x:f>F14*Assumptions!$B$10</x:f>
        <x:v>24.074999999999996</x:v>
      </x:c>
      <x:c r="G16" s="16" t="n">
        <x:f>G14*Assumptions!$B$10</x:f>
        <x:v>24.920963650667623</x:v>
      </x:c>
      <x:c r="H16" s="16" t="n">
        <x:f>H14*Assumptions!$B$10</x:f>
        <x:v>25.812974365167797</x:v>
      </x:c>
      <x:c r="I16" s="16" t="n">
        <x:f>I14*Assumptions!$B$10</x:f>
        <x:v>26.72535930295138</x:v>
      </x:c>
      <x:c r="J16" s="16" t="n">
        <x:f>J14*Assumptions!$B$10</x:f>
        <x:v>27.65851730508614</x:v>
      </x:c>
      <x:c r="K16" s="16" t="n">
        <x:f>K14*Assumptions!$B$10</x:f>
        <x:v>28.61285441842337</x:v>
      </x:c>
    </x:row>
    <x:row r="17">
      <x:c r="A17" t="str">
        <x:v>NOPAT for valuation</x:v>
      </x:c>
      <x:c r="B17" s="16" t="n">
        <x:f>B14-B16</x:f>
        <x:v>81.67500000000001</x:v>
      </x:c>
      <x:c r="C17" s="16" t="n">
        <x:f>C14-C16</x:f>
        <x:v>77.4</x:v>
      </x:c>
      <x:c r="D17" s="16" t="n">
        <x:f>D14-D16</x:f>
        <x:v>85.65</x:v>
      </x:c>
      <x:c r="E17" s="16" t="n">
        <x:f>E14-E16</x:f>
        <x:v>91.275</x:v>
      </x:c>
      <x:c r="F17" s="16" t="n">
        <x:f>F14-F16</x:f>
        <x:v>72.225</x:v>
      </x:c>
      <x:c r="G17" s="16" t="n">
        <x:f>G14-G16</x:f>
        <x:v>74.76289095200286</x:v>
      </x:c>
      <x:c r="H17" s="16" t="n">
        <x:f>H14-H16</x:f>
        <x:v>77.43892309550338</x:v>
      </x:c>
      <x:c r="I17" s="16" t="n">
        <x:f>I14-I16</x:f>
        <x:v>80.17607790885414</x:v>
      </x:c>
      <x:c r="J17" s="16" t="n">
        <x:f>J14-J16</x:f>
        <x:v>82.97555191525842</x:v>
      </x:c>
      <x:c r="K17" s="16" t="n">
        <x:f>K14-K16</x:f>
        <x:v>85.83856325527012</x:v>
      </x:c>
    </x:row>
    <x:row r="18"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t="str">
        <x:v>Reported finance income</x:v>
      </x:c>
      <x:c r="B19" s="16" t="n">
        <x:v>14.1</x:v>
      </x:c>
      <x:c r="C19" s="16" t="n">
        <x:v>13.1</x:v>
      </x:c>
      <x:c r="D19" s="16" t="n">
        <x:v>13.7</x:v>
      </x:c>
      <x:c r="E19" s="16" t="n">
        <x:v>14</x:v>
      </x:c>
      <x:c r="F19" s="16" t="n">
        <x:v>13.6</x:v>
      </x:c>
      <x:c r="G19" s="16"/>
      <x:c r="H19" s="16"/>
      <x:c r="I19" s="16"/>
      <x:c r="J19" s="16"/>
      <x:c r="K19" s="16"/>
    </x:row>
    <x:row r="20">
      <x:c r="A20" t="str">
        <x:v>Reported finance costs</x:v>
      </x:c>
      <x:c r="B20" s="16" t="n">
        <x:v>-19.5</x:v>
      </x:c>
      <x:c r="C20" s="16" t="n">
        <x:v>-24</x:v>
      </x:c>
      <x:c r="D20" s="16" t="n">
        <x:v>-28.2</x:v>
      </x:c>
      <x:c r="E20" s="16" t="n">
        <x:v>-31.7</x:v>
      </x:c>
      <x:c r="F20" s="16" t="n">
        <x:v>-33.6</x:v>
      </x:c>
      <x:c r="G20" s="16"/>
      <x:c r="H20" s="16"/>
      <x:c r="I20" s="16"/>
      <x:c r="J20" s="16"/>
      <x:c r="K20" s="16"/>
    </x:row>
    <x:row r="21">
      <x:c r="A21" t="str">
        <x:v>Reported profit before tax</x:v>
      </x:c>
      <x:c r="B21" s="16" t="n">
        <x:v>109.7</x:v>
      </x:c>
      <x:c r="C21" s="16" t="n">
        <x:v>98.9</x:v>
      </x:c>
      <x:c r="D21" s="16" t="n">
        <x:v>142.3</x:v>
      </x:c>
      <x:c r="E21" s="16" t="n">
        <x:v>124.9</x:v>
      </x:c>
      <x:c r="F21" s="16" t="n">
        <x:v>81.1</x:v>
      </x:c>
      <x:c r="G21" s="16"/>
      <x:c r="H21" s="16"/>
      <x:c r="I21" s="16"/>
      <x:c r="J21" s="16"/>
      <x:c r="K21" s="16"/>
    </x:row>
    <x:row r="22">
      <x:c r="A22" t="str">
        <x:v>Reported income tax expense</x:v>
      </x:c>
      <x:c r="B22" s="16" t="n">
        <x:v>-19</x:v>
      </x:c>
      <x:c r="C22" s="16" t="n">
        <x:v>-17.3</x:v>
      </x:c>
      <x:c r="D22" s="16" t="n">
        <x:v>-27.3</x:v>
      </x:c>
      <x:c r="E22" s="16" t="n">
        <x:v>-34.7</x:v>
      </x:c>
      <x:c r="F22" s="16" t="n">
        <x:v>-22.1</x:v>
      </x:c>
      <x:c r="G22" s="16"/>
      <x:c r="H22" s="16"/>
      <x:c r="I22" s="16"/>
      <x:c r="J22" s="16"/>
      <x:c r="K22" s="16"/>
    </x:row>
    <x:row r="23">
      <x:c r="A23" t="str">
        <x:v>Reported profit for year</x:v>
      </x:c>
      <x:c r="B23" s="16" t="n">
        <x:v>78.3</x:v>
      </x:c>
      <x:c r="C23" s="16" t="n">
        <x:v>81.6</x:v>
      </x:c>
      <x:c r="D23" s="16" t="n">
        <x:v>115</x:v>
      </x:c>
      <x:c r="E23" s="16" t="n">
        <x:v>90.2</x:v>
      </x:c>
      <x:c r="F23" s="16" t="n">
        <x:v>59</x:v>
      </x:c>
      <x:c r="G23" s="16"/>
      <x:c r="H23" s="16"/>
      <x:c r="I23" s="16"/>
      <x:c r="J23" s="16"/>
      <x:c r="K23" s="16"/>
    </x:row>
    <x:row r="24"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t="str">
        <x:v>Forecast finance expense (proxy)</x:v>
      </x:c>
      <x:c r="B25" s="16"/>
      <x:c r="C25" s="16"/>
      <x:c r="D25" s="16"/>
      <x:c r="E25" s="16"/>
      <x:c r="F25" s="16"/>
      <x:c r="G25" s="16" t="n">
        <x:f>Assumptions!$B$37*Assumptions!$B$42+Assumptions!$B$38*Assumptions!$B$36</x:f>
        <x:v>34.07292140634489</x:v>
      </x:c>
      <x:c r="H25" s="16" t="n">
        <x:f>Assumptions!$B$37*Assumptions!$B$42+Assumptions!$B$38*Assumptions!$B$36</x:f>
        <x:v>34.07292140634489</x:v>
      </x:c>
      <x:c r="I25" s="16" t="n">
        <x:f>Assumptions!$B$37*Assumptions!$B$42+Assumptions!$B$38*Assumptions!$B$36</x:f>
        <x:v>34.07292140634489</x:v>
      </x:c>
      <x:c r="J25" s="16" t="n">
        <x:f>Assumptions!$B$37*Assumptions!$B$42+Assumptions!$B$38*Assumptions!$B$36</x:f>
        <x:v>34.07292140634489</x:v>
      </x:c>
      <x:c r="K25" s="16" t="n">
        <x:f>Assumptions!$B$37*Assumptions!$B$42+Assumptions!$B$38*Assumptions!$B$36</x:f>
        <x:v>34.07292140634489</x:v>
      </x:c>
    </x:row>
    <x:row r="26">
      <x:c r="A26" t="str">
        <x:v>Illustrative forecast profit after financing and tax</x:v>
      </x:c>
      <x:c r="B26" s="16"/>
      <x:c r="C26" s="16"/>
      <x:c r="D26" s="16"/>
      <x:c r="E26" s="16"/>
      <x:c r="F26" s="16"/>
      <x:c r="G26" s="16" t="n">
        <x:f>(G14-G25)*(1-Assumptions!$B$10)</x:f>
        <x:v>49.2081998972442</x:v>
      </x:c>
      <x:c r="H26" s="16" t="n">
        <x:f>(H14-H25)*(1-Assumptions!$B$10)</x:f>
        <x:v>51.88423204074472</x:v>
      </x:c>
      <x:c r="I26" s="16" t="n">
        <x:f>(I14-I25)*(1-Assumptions!$B$10)</x:f>
        <x:v>54.62138685409547</x:v>
      </x:c>
      <x:c r="J26" s="16" t="n">
        <x:f>(J14-J25)*(1-Assumptions!$B$10)</x:f>
        <x:v>57.42086086049975</x:v>
      </x:c>
      <x:c r="K26" s="16" t="n">
        <x:f>(K14-K25)*(1-Assumptions!$B$10)</x:f>
        <x:v>60.283872200511446</x:v>
      </x:c>
    </x:row>
    <x:row r="27"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M29" t="str">
        <x:v>FY2025 OPERATING EBIT BRIDGE | £m</x:v>
      </x:c>
      <x:c r="N29" t="str">
        <x:v>Value</x:v>
      </x:c>
    </x:row>
    <x:row r="30"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M30" t="str">
        <x:v>Statutory EBIT</x:v>
      </x:c>
      <x:c r="N30" s="16" t="n">
        <x:f>F13</x:f>
        <x:v>101.1</x:v>
      </x:c>
    </x:row>
    <x:row r="31"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M31" t="str">
        <x:v>Exclude noncash Shorecal impairment (+)</x:v>
      </x:c>
      <x:c r="N31" s="16" t="n">
        <x:v>10.4</x:v>
      </x:c>
    </x:row>
    <x:row r="32"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M32" t="str">
        <x:v>Remove one-time executive benefit (-)</x:v>
      </x:c>
      <x:c r="N32" s="16" t="n">
        <x:v>-1.4</x:v>
      </x:c>
    </x:row>
    <x:row r="33"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M33" t="str">
        <x:v>Remove Full House partial disposal gain (-)</x:v>
      </x:c>
      <x:c r="N33" s="16" t="n">
        <x:v>-9.9</x:v>
      </x:c>
    </x:row>
    <x:row r="34"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M34" t="str">
        <x:v>Remove Victa DP fair-value gain (-)</x:v>
      </x:c>
      <x:c r="N34" s="16" t="n">
        <x:v>-1.5</x:v>
      </x:c>
    </x:row>
    <x:row r="35">
      <x:c r="A35" s="26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M35" t="str">
        <x:v>Remove associate / joint venture share (-)</x:v>
      </x:c>
      <x:c r="N35" s="16" t="n">
        <x:v>-2.4</x:v>
      </x:c>
    </x:row>
    <x:row r="36">
      <x:c r="A36" s="26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M36" t="str">
        <x:v>Analyst normalized operating EBIT</x:v>
      </x:c>
      <x:c r="N36" s="16" t="n">
        <x:f>SUM(N30:N35)</x:f>
        <x:v>96.29999999999998</x:v>
      </x:c>
    </x:row>
    <x:row r="37">
      <x:c r="A37" s="26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M37" t="str">
        <x:v>Difference to operating EBIT (zero = tie)</x:v>
      </x:c>
      <x:c r="N37" s="16" t="n">
        <x:f>N36-F14</x:f>
        <x:v>0</x:v>
      </x:c>
    </x:row>
    <x:row r="38">
      <x:c r="A38" s="26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M38" t="str">
        <x:v>Underlying EBIT (management)</x:v>
      </x:c>
      <x:c r="N38" s="16" t="n">
        <x:v>111.2</x:v>
      </x:c>
    </x:row>
    <x:row r="39">
      <x:c r="A39" s="26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M39" t="str">
        <x:v>Management underlying less associate profit</x:v>
      </x:c>
      <x:c r="N39" s="16" t="n">
        <x:f>N38+N35</x:f>
        <x:v>108.8</x:v>
      </x:c>
    </x:row>
    <x:row r="40">
      <x:c r="A40" s="26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M40" t="str">
        <x:v>Conservative analyst reduction vs underlying ex-associates</x:v>
      </x:c>
      <x:c r="N40" s="16" t="n">
        <x:f>N39-N36</x:f>
        <x:v>12.500000000000014</x:v>
      </x:c>
    </x:row>
    <x:row r="41">
      <x:c r="A41" s="26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M41" t="str">
        <x:v>Methodology</x:v>
      </x:c>
      <x:c r="N41" t="str">
        <x:v>Retains £6.5m reacquired-rights amortisation and £6.0m transaction costs in EBIT; excludes other identified one-offs and associate income.</x:v>
      </x:c>
    </x:row>
    <x:row r="42">
      <x:c r="A42" s="26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M42" t="str">
        <x:v>Source</x:v>
      </x:c>
      <x:c r="N42" t="str">
        <x:v>Dominos Pizza Group Annual Report 2025: income statement and note 6, plus analyst normalization in pre-consolidation Earnings_Bridge.</x:v>
      </x:c>
    </x:row>
    <x:row r="43">
      <x:c r="A43" s="26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M43" t="str">
        <x:v>Timing caveat</x:v>
      </x:c>
      <x:c r="N43" t="str">
        <x:v>FY2025 audited accounts published March 2026; retrospective 28 Dec 2025 valuation, not information available on 24 Dec 2025.</x:v>
      </x:c>
    </x:row>
    <x:row r="44">
      <x:c r="A44" s="26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</x:row>
    <x:row r="45">
      <x:c r="A45" s="26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</x:row>
    <x:row r="46">
      <x:c r="A46" s="26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</x:row>
    <x:row r="47">
      <x:c r="A47" s="26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</x:row>
    <x:row r="48">
      <x:c r="A48" s="26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</x:row>
    <x:row r="49">
      <x:c r="A49" s="26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</x:row>
    <x:row r="50">
      <x:c r="A50" s="26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</x:row>
    <x:row r="51">
      <x:c r="A51" s="26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</x:row>
    <x:row r="52">
      <x:c r="A52" s="26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</x:row>
    <x:row r="53">
      <x:c r="A53" s="26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</x:row>
    <x:row r="54">
      <x:c r="A54" s="26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</x:row>
    <x:row r="55">
      <x:c r="A55" s="26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9" customHeight="1">
      <x:c r="A1" s="3" t="str">
        <x:v>BALANCE SHEET | HISTORICAL &amp; FORECAST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1" customHeight="1">
      <x:c r="A2" s="3" t="str">
        <x:v>Domino’s Pizza Group plc | GBP millions, except per-share data and percentages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 ht="23" customHeight="1">
      <x:c r="A4" s="7"/>
      <x:c r="B4" s="7" t="str">
        <x:v>FY2021A</x:v>
      </x:c>
      <x:c r="C4" s="7" t="str">
        <x:v>FY2022A</x:v>
      </x:c>
      <x:c r="D4" s="7" t="str">
        <x:v>FY2023A</x:v>
      </x:c>
      <x:c r="E4" s="7" t="str">
        <x:v>FY2024A</x:v>
      </x:c>
      <x:c r="F4" s="7" t="str">
        <x:v>FY2025A</x:v>
      </x:c>
      <x:c r="G4" s="7" t="str">
        <x:v>FY2026E</x:v>
      </x:c>
      <x:c r="H4" s="7" t="str">
        <x:v>FY2027E</x:v>
      </x:c>
      <x:c r="I4" s="7" t="str">
        <x:v>FY2028E</x:v>
      </x:c>
      <x:c r="J4" s="7" t="str">
        <x:v>FY2029E</x:v>
      </x:c>
      <x:c r="K4" s="7" t="str">
        <x:v>FY2030E</x:v>
      </x:c>
    </x:row>
    <x:row r="5">
      <x:c r="B5" s="16"/>
      <x:c r="C5" s="16"/>
      <x:c r="D5" s="16"/>
      <x:c r="E5" s="16"/>
      <x:c r="F5" s="16"/>
      <x:c r="G5" s="16"/>
      <x:c r="H5" s="16"/>
      <x:c r="I5" s="16"/>
      <x:c r="J5" s="16"/>
      <x:c r="K5" s="16"/>
    </x:row>
    <x:row r="6" ht="23" customHeight="1">
      <x:c r="A6" s="11" t="str">
        <x:v>CONSOLIDATED FINANCIAL POSITION | £m</x:v>
      </x:c>
      <x:c r="B6" s="17"/>
      <x:c r="C6" s="17"/>
      <x:c r="D6" s="17"/>
      <x:c r="E6" s="17"/>
      <x:c r="F6" s="17"/>
      <x:c r="G6" s="17"/>
      <x:c r="H6" s="17"/>
      <x:c r="I6" s="17"/>
      <x:c r="J6" s="17"/>
      <x:c r="K6" s="17"/>
    </x:row>
    <x:row r="7">
      <x:c r="A7" t="str">
        <x:v>Total assets</x:v>
      </x:c>
      <x:c r="B7" s="16" t="n">
        <x:v>522</x:v>
      </x:c>
      <x:c r="C7" s="16" t="n">
        <x:v>520.7</x:v>
      </x:c>
      <x:c r="D7" s="16" t="n">
        <x:v>512.5</x:v>
      </x:c>
      <x:c r="E7" s="16" t="n">
        <x:v>602.9</x:v>
      </x:c>
      <x:c r="F7" s="16" t="n">
        <x:v>613.9</x:v>
      </x:c>
      <x:c r="G7" s="16" t="n">
        <x:f>SUM(G11:G16)</x:f>
        <x:v>638.0681229758588</x:v>
      </x:c>
      <x:c r="H7" s="16" t="n">
        <x:f>SUM(H11:H16)</x:f>
        <x:v>663.5524996607962</x:v>
      </x:c>
      <x:c r="I7" s="16" t="n">
        <x:f>SUM(I11:I16)</x:f>
        <x:v>690.2445246974544</x:v>
      </x:c>
      <x:c r="J7" s="16" t="n">
        <x:f>SUM(J11:J16)</x:f>
        <x:v>718.1714449519753</x:v>
      </x:c>
      <x:c r="K7" s="16" t="n">
        <x:f>SUM(K11:K16)</x:f>
        <x:v>747.3610387454451</x:v>
      </x:c>
    </x:row>
    <x:row r="8">
      <x:c r="A8" t="str">
        <x:v>Total liabilities (signed)</x:v>
      </x:c>
      <x:c r="B8" s="16" t="n">
        <x:v>-580.6</x:v>
      </x:c>
      <x:c r="C8" s="16" t="n">
        <x:v>-633.5</x:v>
      </x:c>
      <x:c r="D8" s="16" t="n">
        <x:v>-646.5</x:v>
      </x:c>
      <x:c r="E8" s="16" t="n">
        <x:v>-685.1</x:v>
      </x:c>
      <x:c r="F8" s="16" t="n">
        <x:v>-702.8</x:v>
      </x:c>
      <x:c r="G8" s="16" t="n">
        <x:f>-G22</x:f>
        <x:v>-707.2848430169613</x:v>
      </x:c>
      <x:c r="H8" s="16" t="n">
        <x:f>-H22</x:f>
        <x:v>-712.0155268856008</x:v>
      </x:c>
      <x:c r="I8" s="16" t="n">
        <x:f>-I22</x:f>
        <x:v>-716.8589971806206</x:v>
      </x:c>
      <x:c r="J8" s="16" t="n">
        <x:f>-J22</x:f>
        <x:v>-721.8175730909418</x:v>
      </x:c>
      <x:c r="K8" s="16" t="n">
        <x:f>-K22</x:f>
        <x:v>-726.8936180042069</x:v>
      </x:c>
    </x:row>
    <x:row r="9">
      <x:c r="A9" t="str">
        <x:v>Reported equity / net assets</x:v>
      </x:c>
      <x:c r="B9" s="16" t="n">
        <x:v>-58.6</x:v>
      </x:c>
      <x:c r="C9" s="16" t="n">
        <x:v>-112.8</x:v>
      </x:c>
      <x:c r="D9" s="16" t="n">
        <x:v>-134</x:v>
      </x:c>
      <x:c r="E9" s="16" t="n">
        <x:v>-82.2</x:v>
      </x:c>
      <x:c r="F9" s="16" t="n">
        <x:v>-88.9</x:v>
      </x:c>
      <x:c r="G9" s="16" t="n">
        <x:f>G7-G22</x:f>
        <x:v>-69.21672004110246</x:v>
      </x:c>
      <x:c r="H9" s="16" t="n">
        <x:f>H7-H22</x:f>
        <x:v>-48.46302722480459</x:v>
      </x:c>
      <x:c r="I9" s="16" t="n">
        <x:f>I7-I22</x:f>
        <x:v>-26.614472483166196</x:v>
      </x:c>
      <x:c r="J9" s="16" t="n">
        <x:f>J7-J22</x:f>
        <x:v>-3.6461281389664464</x:v>
      </x:c>
      <x:c r="K9" s="16" t="n">
        <x:f>K7-K22</x:f>
        <x:v>20.46742074123813</x:v>
      </x:c>
    </x:row>
    <x:row r="10"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</x:row>
    <x:row r="11">
      <x:c r="A11" t="str">
        <x:v>Cash and cash equivalents</x:v>
      </x:c>
      <x:c r="B11" s="16" t="n">
        <x:v>42.8</x:v>
      </x:c>
      <x:c r="C11" s="16" t="n">
        <x:v>30.4</x:v>
      </x:c>
      <x:c r="D11" s="16" t="n">
        <x:v>52.1</x:v>
      </x:c>
      <x:c r="E11" s="16" t="n">
        <x:v>52.2</x:v>
      </x:c>
      <x:c r="F11" s="16" t="n">
        <x:v>24.6</x:v>
      </x:c>
      <x:c r="G11" s="16" t="n">
        <x:f>'Cash Flow'!G26</x:f>
        <x:v>40.13920294698859</x:v>
      </x:c>
      <x:c r="H11" s="16" t="n">
        <x:f>'Cash Flow'!H26</x:f>
        <x:v>60.308684048598636</x:v>
      </x:c>
      <x:c r="I11" s="16" t="n">
        <x:f>'Cash Flow'!I26</x:f>
        <x:v>83.43582702393938</x:v>
      </x:c>
      <x:c r="J11" s="16" t="n">
        <x:f>'Cash Flow'!J26</x:f>
        <x:v>109.68033269147652</x:v>
      </x:c>
      <x:c r="K11" s="16" t="n">
        <x:f>'Cash Flow'!K26</x:f>
        <x:v>137.16341923997203</x:v>
      </x:c>
    </x:row>
    <x:row r="12">
      <x:c r="A12" t="str">
        <x:v>Inventories</x:v>
      </x:c>
      <x:c r="B12" s="16" t="n">
        <x:v>10.9</x:v>
      </x:c>
      <x:c r="C12" s="16" t="n">
        <x:v>11.6</x:v>
      </x:c>
      <x:c r="D12" s="16" t="n">
        <x:v>11.4</x:v>
      </x:c>
      <x:c r="E12" s="16" t="n">
        <x:v>9.2</x:v>
      </x:c>
      <x:c r="F12" s="16" t="n">
        <x:v>10.7</x:v>
      </x:c>
      <x:c r="G12" s="16" t="n">
        <x:f>$F$12*'Income Statement'!G8/'Income Statement'!$F$8</x:f>
        <x:v>11.083902562251893</x:v>
      </x:c>
      <x:c r="H12" s="16" t="n">
        <x:f>$F$12*'Income Statement'!H8/'Income Statement'!$F$8</x:f>
        <x:v>11.48884910140743</x:v>
      </x:c>
      <x:c r="I12" s="16" t="n">
        <x:f>$F$12*'Income Statement'!I8/'Income Statement'!$F$8</x:f>
        <x:v>11.903450158661128</x:v>
      </x:c>
      <x:c r="J12" s="16" t="n">
        <x:f>$F$12*'Income Statement'!J8/'Income Statement'!$F$8</x:f>
        <x:v>12.327904256584619</x:v>
      </x:c>
      <x:c r="K12" s="16" t="n">
        <x:f>$F$12*'Income Statement'!K8/'Income Statement'!$F$8</x:f>
        <x:v>12.762413701160115</x:v>
      </x:c>
    </x:row>
    <x:row r="13">
      <x:c r="A13" t="str">
        <x:v>Reported trade and other receivables</x:v>
      </x:c>
      <x:c r="B13" s="16" t="n">
        <x:v>34.3</x:v>
      </x:c>
      <x:c r="C13" s="16" t="n">
        <x:v>55.9</x:v>
      </x:c>
      <x:c r="D13" s="16" t="n">
        <x:v>51.6</x:v>
      </x:c>
      <x:c r="E13" s="16" t="n">
        <x:v>60.3</x:v>
      </x:c>
      <x:c r="F13" s="16" t="n">
        <x:v>66.1</x:v>
      </x:c>
      <x:c r="G13" s="16" t="n">
        <x:f>'Income Statement'!G8*($F$13/'Income Statement'!$F$8)</x:f>
        <x:v>68.47158498736917</x:v>
      </x:c>
      <x:c r="H13" s="16" t="n">
        <x:f>'Income Statement'!H8*($F$13/'Income Statement'!$F$8)</x:f>
        <x:v>70.97317061710571</x:v>
      </x:c>
      <x:c r="I13" s="16" t="n">
        <x:f>'Income Statement'!I8*($F$13/'Income Statement'!$F$8)</x:f>
        <x:v>73.5343977091122</x:v>
      </x:c>
      <x:c r="J13" s="16" t="n">
        <x:f>'Income Statement'!J8*($F$13/'Income Statement'!$F$8)</x:f>
        <x:v>76.15649265049002</x:v>
      </x:c>
      <x:c r="K13" s="16" t="n">
        <x:f>'Income Statement'!K8*($F$13/'Income Statement'!$F$8)</x:f>
        <x:v>78.84070520062464</x:v>
      </x:c>
    </x:row>
    <x:row r="14">
      <x:c r="A14" t="str">
        <x:v>Other noncash assets incl. PPE and ROU (depreciation and CapEx roll)</x:v>
      </x:c>
      <x:c r="B14" s="16" t="n">
        <x:f>B7-B11-B12-B13</x:f>
        <x:v>434</x:v>
      </x:c>
      <x:c r="C14" s="16" t="n">
        <x:f>C7-C11-C12-C13</x:f>
        <x:v>422.80000000000007</x:v>
      </x:c>
      <x:c r="D14" s="16" t="n">
        <x:f>D7-D11-D12-D13</x:f>
        <x:v>397.4</x:v>
      </x:c>
      <x:c r="E14" s="16" t="n">
        <x:f>E7-E11-E12-E13</x:f>
        <x:v>481.1999999999999</x:v>
      </x:c>
      <x:c r="F14" s="16" t="n">
        <x:f>F7-F11-F12-F13</x:f>
        <x:v>512.4999999999999</x:v>
      </x:c>
      <x:c r="G14" s="16" t="n">
        <x:f>F14+'Cash Flow'!G18-'Cash Flow'!G14-'Cash Flow'!G15</x:f>
        <x:v>518.3734324792492</x:v>
      </x:c>
      <x:c r="H14" s="16" t="n">
        <x:f>G14+'Cash Flow'!H18-'Cash Flow'!H14-'Cash Flow'!H15</x:f>
        <x:v>520.7817958936845</x:v>
      </x:c>
      <x:c r="I14" s="16" t="n">
        <x:f>H14+'Cash Flow'!I18-'Cash Flow'!I14-'Cash Flow'!I15</x:f>
        <x:v>521.3708498057416</x:v>
      </x:c>
      <x:c r="J14" s="16" t="n">
        <x:f>I14+'Cash Flow'!J18-'Cash Flow'!J14-'Cash Flow'!J15</x:f>
        <x:v>520.0067153534242</x:v>
      </x:c>
      <x:c r="K14" s="16" t="n">
        <x:f>J14+'Cash Flow'!K18-'Cash Flow'!K14-'Cash Flow'!K15</x:f>
        <x:v>518.5945006036883</x:v>
      </x:c>
    </x:row>
    <x:row r="15">
      <x:c r="A15" t="str">
        <x:v>Separately detailed fixed assets (not projected)</x:v>
      </x:c>
      <x:c r="B15" s="16"/>
      <x:c r="C15" s="16"/>
      <x:c r="D15" s="16"/>
      <x:c r="E15" s="16"/>
      <x:c r="F15" s="16"/>
      <x:c r="G15" s="16" t="n">
        <x:v>0</x:v>
      </x:c>
      <x:c r="H15" s="16" t="n">
        <x:v>0</x:v>
      </x:c>
      <x:c r="I15" s="16" t="n">
        <x:v>0</x:v>
      </x:c>
      <x:c r="J15" s="16" t="n">
        <x:v>0</x:v>
      </x:c>
      <x:c r="K15" s="16" t="n">
        <x:v>0</x:v>
      </x:c>
    </x:row>
    <x:row r="16">
      <x:c r="A16" t="str">
        <x:v>Right-of-use and other long-term assets (forecast residual)</x:v>
      </x:c>
      <x:c r="B16" s="16"/>
      <x:c r="C16" s="16"/>
      <x:c r="D16" s="16"/>
      <x:c r="E16" s="16"/>
      <x:c r="F16" s="16"/>
      <x:c r="G16" s="16" t="n">
        <x:f>$F$16</x:f>
        <x:v>0</x:v>
      </x:c>
      <x:c r="H16" s="16" t="n">
        <x:f>$F$16</x:f>
        <x:v>0</x:v>
      </x:c>
      <x:c r="I16" s="16" t="n">
        <x:f>$F$16</x:f>
        <x:v>0</x:v>
      </x:c>
      <x:c r="J16" s="16" t="n">
        <x:f>$F$16</x:f>
        <x:v>0</x:v>
      </x:c>
      <x:c r="K16" s="16" t="n">
        <x:f>$F$16</x:f>
        <x:v>0</x:v>
      </x:c>
    </x:row>
    <x:row r="17"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A18" t="str">
        <x:v>Reported financial borrowings</x:v>
      </x:c>
      <x:c r="B18" s="16" t="n">
        <x:v>242.5</x:v>
      </x:c>
      <x:c r="C18" s="16" t="n">
        <x:v>292.59999999999997</x:v>
      </x:c>
      <x:c r="D18" s="16" t="n">
        <x:v>291</x:v>
      </x:c>
      <x:c r="E18" s="16" t="n">
        <x:v>317.7</x:v>
      </x:c>
      <x:c r="F18" s="16" t="n">
        <x:v>309.2</x:v>
      </x:c>
      <x:c r="G18" s="16" t="n">
        <x:f>$F$18</x:f>
        <x:v>309.2</x:v>
      </x:c>
      <x:c r="H18" s="16" t="n">
        <x:f>$F$18</x:f>
        <x:v>309.2</x:v>
      </x:c>
      <x:c r="I18" s="16" t="n">
        <x:f>$F$18</x:f>
        <x:v>309.2</x:v>
      </x:c>
      <x:c r="J18" s="16" t="n">
        <x:f>$F$18</x:f>
        <x:v>309.2</x:v>
      </x:c>
      <x:c r="K18" s="16" t="n">
        <x:f>$F$18</x:f>
        <x:v>309.2</x:v>
      </x:c>
    </x:row>
    <x:row r="19">
      <x:c r="A19" t="str">
        <x:v>Head lease liabilities</x:v>
      </x:c>
      <x:c r="B19" s="16" t="n">
        <x:v>222.60000000000002</x:v>
      </x:c>
      <x:c r="C19" s="16" t="n">
        <x:v>223.4</x:v>
      </x:c>
      <x:c r="D19" s="16" t="n">
        <x:v>230.29999999999998</x:v>
      </x:c>
      <x:c r="E19" s="16" t="n">
        <x:v>229.70000000000002</x:v>
      </x:c>
      <x:c r="F19" s="16" t="n">
        <x:v>240.1</x:v>
      </x:c>
      <x:c r="G19" s="16" t="n">
        <x:f>$F$19</x:f>
        <x:v>240.1</x:v>
      </x:c>
      <x:c r="H19" s="16" t="n">
        <x:f>$F$19</x:f>
        <x:v>240.1</x:v>
      </x:c>
      <x:c r="I19" s="16" t="n">
        <x:f>$F$19</x:f>
        <x:v>240.1</x:v>
      </x:c>
      <x:c r="J19" s="16" t="n">
        <x:f>$F$19</x:f>
        <x:v>240.1</x:v>
      </x:c>
      <x:c r="K19" s="16" t="n">
        <x:f>$F$19</x:f>
        <x:v>240.1</x:v>
      </x:c>
    </x:row>
    <x:row r="20">
      <x:c r="A20" t="str">
        <x:v>Trade and other payables (positive)</x:v>
      </x:c>
      <x:c r="B20" s="16" t="n">
        <x:v>96.1</x:v>
      </x:c>
      <x:c r="C20" s="16" t="n">
        <x:v>98.6</x:v>
      </x:c>
      <x:c r="D20" s="16" t="n">
        <x:v>111.4</x:v>
      </x:c>
      <x:c r="E20" s="16" t="n">
        <x:v>118.4</x:v>
      </x:c>
      <x:c r="F20" s="16" t="n">
        <x:v>125</x:v>
      </x:c>
      <x:c r="G20" s="16" t="n">
        <x:f>'Income Statement'!G8*($F$20/'Income Statement'!$F$8)</x:f>
        <x:v>129.48484301696135</x:v>
      </x:c>
      <x:c r="H20" s="16" t="n">
        <x:f>'Income Statement'!H8*($F$20/'Income Statement'!$F$8)</x:f>
        <x:v>134.2155268856008</x:v>
      </x:c>
      <x:c r="I20" s="16" t="n">
        <x:f>'Income Statement'!I8*($F$20/'Income Statement'!$F$8)</x:f>
        <x:v>139.05899718062065</x:v>
      </x:c>
      <x:c r="J20" s="16" t="n">
        <x:f>'Income Statement'!J8*($F$20/'Income Statement'!$F$8)</x:f>
        <x:v>144.0175730909418</x:v>
      </x:c>
      <x:c r="K20" s="16" t="n">
        <x:f>'Income Statement'!K8*($F$20/'Income Statement'!$F$8)</x:f>
        <x:v>149.09361800420697</x:v>
      </x:c>
    </x:row>
    <x:row r="21">
      <x:c r="A21" t="str">
        <x:v>Other reported liabilities (positive)</x:v>
      </x:c>
      <x:c r="B21" s="16" t="n">
        <x:f>-B8-B18-B19-B20</x:f>
        <x:v>19.400000000000006</x:v>
      </x:c>
      <x:c r="C21" s="16" t="n">
        <x:f>-C8-C18-C19-C20</x:f>
        <x:v>18.900000000000034</x:v>
      </x:c>
      <x:c r="D21" s="16" t="n">
        <x:f>-D8-D18-D19-D20</x:f>
        <x:v>13.800000000000011</x:v>
      </x:c>
      <x:c r="E21" s="16" t="n">
        <x:f>-E8-E18-E19-E20</x:f>
        <x:v>19.30000000000001</x:v>
      </x:c>
      <x:c r="F21" s="16" t="n">
        <x:f>-F8-F18-F19-F20</x:f>
        <x:v>28.49999999999997</x:v>
      </x:c>
      <x:c r="G21" s="16" t="n">
        <x:f>$F$21</x:f>
        <x:v>28.49999999999997</x:v>
      </x:c>
      <x:c r="H21" s="16" t="n">
        <x:f>$F$21</x:f>
        <x:v>28.49999999999997</x:v>
      </x:c>
      <x:c r="I21" s="16" t="n">
        <x:f>$F$21</x:f>
        <x:v>28.49999999999997</x:v>
      </x:c>
      <x:c r="J21" s="16" t="n">
        <x:f>$F$21</x:f>
        <x:v>28.49999999999997</x:v>
      </x:c>
      <x:c r="K21" s="16" t="n">
        <x:f>$F$21</x:f>
        <x:v>28.49999999999997</x:v>
      </x:c>
    </x:row>
    <x:row r="22">
      <x:c r="A22" t="str">
        <x:v>Total liabilities (positive)</x:v>
      </x:c>
      <x:c r="B22" s="16" t="n">
        <x:f>-B8</x:f>
        <x:v>580.6</x:v>
      </x:c>
      <x:c r="C22" s="16" t="n">
        <x:f>-C8</x:f>
        <x:v>633.5</x:v>
      </x:c>
      <x:c r="D22" s="16" t="n">
        <x:f>-D8</x:f>
        <x:v>646.5</x:v>
      </x:c>
      <x:c r="E22" s="16" t="n">
        <x:f>-E8</x:f>
        <x:v>685.1</x:v>
      </x:c>
      <x:c r="F22" s="16" t="n">
        <x:f>-F8</x:f>
        <x:v>702.8</x:v>
      </x:c>
      <x:c r="G22" s="16" t="n">
        <x:f>SUM(G18:G21)</x:f>
        <x:v>707.2848430169613</x:v>
      </x:c>
      <x:c r="H22" s="16" t="n">
        <x:f>SUM(H18:H21)</x:f>
        <x:v>712.0155268856008</x:v>
      </x:c>
      <x:c r="I22" s="16" t="n">
        <x:f>SUM(I18:I21)</x:f>
        <x:v>716.8589971806206</x:v>
      </x:c>
      <x:c r="J22" s="16" t="n">
        <x:f>SUM(J18:J21)</x:f>
        <x:v>721.8175730909418</x:v>
      </x:c>
      <x:c r="K22" s="16" t="n">
        <x:f>SUM(K18:K21)</x:f>
        <x:v>726.8936180042069</x:v>
      </x:c>
    </x:row>
    <x:row r="23"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t="str">
        <x:v>Core operating NWC (historical classification, forecast changes tied to BS items)</x:v>
      </x:c>
      <x:c r="B24" s="16" t="n">
        <x:v>-15.799999999999997</x:v>
      </x:c>
      <x:c r="C24" s="16" t="n">
        <x:v>-3.1000000000000014</x:v>
      </x:c>
      <x:c r="D24" s="16" t="n">
        <x:v>-15.399999999999999</x:v>
      </x:c>
      <x:c r="E24" s="16" t="n">
        <x:v>-21.400000000000006</x:v>
      </x:c>
      <x:c r="F24" s="16" t="n">
        <x:v>-15.199999999999989</x:v>
      </x:c>
      <x:c r="G24" s="16" t="n">
        <x:f>F24+(G12-F12)+(G13-F13)-(G20-F20)</x:f>
        <x:v>-16.92935546734027</x:v>
      </x:c>
      <x:c r="H24" s="16" t="n">
        <x:f>G24+(H12-G12)+(H13-G13)-(H20-G20)</x:f>
        <x:v>-18.753507167087655</x:v>
      </x:c>
      <x:c r="I24" s="16" t="n">
        <x:f>H24+(I12-H12)+(I13-H13)-(I20-H20)</x:f>
        <x:v>-20.621149312847308</x:v>
      </x:c>
      <x:c r="J24" s="16" t="n">
        <x:f>I24+(J12-I12)+(J13-I13)-(J20-I20)</x:f>
        <x:v>-22.533176183867138</x:v>
      </x:c>
      <x:c r="K24" s="16" t="n">
        <x:f>J24+(K12-J12)+(K13-J13)-(K20-J20)</x:f>
        <x:v>-24.490499102422202</x:v>
      </x:c>
    </x:row>
    <x:row r="25">
      <x:c r="A25" t="str">
        <x:v>Finance sublease receivables</x:v>
      </x:c>
      <x:c r="B25" s="16" t="n">
        <x:v>201.2</x:v>
      </x:c>
      <x:c r="C25" s="16" t="n">
        <x:v>200</x:v>
      </x:c>
      <x:c r="D25" s="16" t="n">
        <x:v>208.70000000000002</x:v>
      </x:c>
      <x:c r="E25" s="16" t="n">
        <x:v>206.7</x:v>
      </x:c>
      <x:c r="F25" s="16" t="n">
        <x:v>200.39999999999998</x:v>
      </x:c>
      <x:c r="G25" s="16" t="n">
        <x:f>$F$25</x:f>
        <x:v>200.39999999999998</x:v>
      </x:c>
      <x:c r="H25" s="16" t="n">
        <x:f>$F$25</x:f>
        <x:v>200.39999999999998</x:v>
      </x:c>
      <x:c r="I25" s="16" t="n">
        <x:f>$F$25</x:f>
        <x:v>200.39999999999998</x:v>
      </x:c>
      <x:c r="J25" s="16" t="n">
        <x:f>$F$25</x:f>
        <x:v>200.39999999999998</x:v>
      </x:c>
      <x:c r="K25" s="16" t="n">
        <x:f>$F$25</x:f>
        <x:v>200.39999999999998</x:v>
      </x:c>
    </x:row>
    <x:row r="26"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t="str">
        <x:v>BS net assets less earnings / dividend equity roll (must equal zero)</x:v>
      </x:c>
      <x:c r="B27" s="16"/>
      <x:c r="C27" s="16"/>
      <x:c r="D27" s="16"/>
      <x:c r="E27" s="16"/>
      <x:c r="F27" s="16"/>
      <x:c r="G27" s="16" t="n">
        <x:f>G9-G28</x:f>
        <x:v>-1.4210854715202004e-13</x:v>
      </x:c>
      <x:c r="H27" s="16" t="n">
        <x:f>H9-H28</x:f>
        <x:v>-1.5631940186722204e-13</x:v>
      </x:c>
      <x:c r="I27" s="16" t="n">
        <x:f>I9-I28</x:f>
        <x:v>4.973799150320701e-14</x:v>
      </x:c>
      <x:c r="J27" s="16" t="n">
        <x:f>J9-J28</x:f>
        <x:v>-9.947598300641403e-14</x:v>
      </x:c>
      <x:c r="K27" s="16" t="n">
        <x:f>K9-K28</x:f>
        <x:v>-1.0658141036401503e-13</x:v>
      </x:c>
    </x:row>
    <x:row r="28">
      <x:c r="A28" t="str">
        <x:v>Forecast equity (profit and dividend roll)</x:v>
      </x:c>
      <x:c r="B28" s="16"/>
      <x:c r="C28" s="16"/>
      <x:c r="D28" s="16"/>
      <x:c r="E28" s="16"/>
      <x:c r="F28" s="16"/>
      <x:c r="G28" s="16" t="n">
        <x:f>F9+'Income Statement'!G26-'Cash Flow'!G23</x:f>
        <x:v>-69.21672004110232</x:v>
      </x:c>
      <x:c r="H28" s="16" t="n">
        <x:f>G28+'Income Statement'!H26-'Cash Flow'!H23</x:f>
        <x:v>-48.463027224804435</x:v>
      </x:c>
      <x:c r="I28" s="16" t="n">
        <x:f>H28+'Income Statement'!I26-'Cash Flow'!I23</x:f>
        <x:v>-26.614472483166246</x:v>
      </x:c>
      <x:c r="J28" s="16" t="n">
        <x:f>I28+'Income Statement'!J26-'Cash Flow'!J23</x:f>
        <x:v>-3.646128138966347</x:v>
      </x:c>
      <x:c r="K28" s="16" t="n">
        <x:f>J28+'Income Statement'!K26-'Cash Flow'!K23</x:f>
        <x:v>20.467420741238236</x:v>
      </x:c>
    </x:row>
    <x:row r="29">
      <x:c r="A29" t="str">
        <x:v>Assets - liabilities - calculated net assets (identity only)</x:v>
      </x:c>
      <x:c r="B29" s="16" t="n">
        <x:f>B7+B8-B9</x:f>
        <x:v>-2.1316282072803006e-14</x:v>
      </x:c>
      <x:c r="C29" s="16" t="n">
        <x:f>C7+C8-C9</x:f>
        <x:v>4.263256414560601e-14</x:v>
      </x:c>
      <x:c r="D29" s="16" t="n">
        <x:f>D7+D8-D9</x:f>
        <x:v>0</x:v>
      </x:c>
      <x:c r="E29" s="16" t="n">
        <x:f>E7+E8-E9</x:f>
        <x:v>-4.263256414560601e-14</x:v>
      </x:c>
      <x:c r="F29" s="16" t="n">
        <x:f>F7+F8-F9</x:f>
        <x:v>2.842170943040401e-14</x:v>
      </x:c>
      <x:c r="G29" s="16" t="n">
        <x:f>G7+G8-G9</x:f>
        <x:v>0</x:v>
      </x:c>
      <x:c r="H29" s="16" t="n">
        <x:f>H7+H8-H9</x:f>
        <x:v>0</x:v>
      </x:c>
      <x:c r="I29" s="16" t="n">
        <x:f>I7+I8-I9</x:f>
        <x:v>0</x:v>
      </x:c>
      <x:c r="J29" s="16" t="n">
        <x:f>J7+J8-J9</x:f>
        <x:v>0</x:v>
      </x:c>
      <x:c r="K29" s="16" t="n">
        <x:f>K7+K8-K9</x:f>
        <x:v>0</x:v>
      </x:c>
    </x:row>
    <x:row r="30"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t="str">
        <x:v>Forecast BS ties through operating working-capital movements and aggregate noncash-asset roll-forward. Debt, head leases, subleases and other liabilities remain constant simplifying assumptions, not fully disclosed maturity schedules.</x:v>
      </x:c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t="str">
        <x:v>The independent equity roll-forward (line 28) must tie to balance-sheet net assets (line 9). Both links respond to revenue, margins, CapEx and dividends. Asset roll-forward includes forecast ROU depreciation.</x:v>
      </x:c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26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</x:row>
    <x:row r="36">
      <x:c r="A36" s="26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</x:row>
    <x:row r="37">
      <x:c r="A37" s="26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</x:row>
    <x:row r="38">
      <x:c r="A38" s="26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</x:row>
    <x:row r="39">
      <x:c r="A39" s="26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</x:row>
    <x:row r="40">
      <x:c r="A40" s="26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</x:row>
    <x:row r="41">
      <x:c r="A41" s="26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</x:row>
    <x:row r="42">
      <x:c r="A42" s="26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</x:row>
    <x:row r="43">
      <x:c r="A43" s="26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</x:row>
    <x:row r="44">
      <x:c r="A44" s="26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</x:row>
    <x:row r="45">
      <x:c r="A45" s="26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</x:row>
    <x:row r="46">
      <x:c r="A46" s="26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</x:row>
    <x:row r="47">
      <x:c r="A47" s="26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</x:row>
    <x:row r="48">
      <x:c r="A48" s="26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</x:row>
    <x:row r="49">
      <x:c r="A49" s="26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</x:row>
    <x:row r="50">
      <x:c r="A50" s="26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</x:row>
    <x:row r="51">
      <x:c r="A51" s="26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</x:row>
    <x:row r="52">
      <x:c r="A52" s="26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</x:row>
    <x:row r="53">
      <x:c r="A53" s="26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</x:row>
    <x:row r="54">
      <x:c r="A54" s="26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</x:row>
    <x:row r="55">
      <x:c r="A55" s="26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9" customHeight="1">
      <x:c r="A1" s="3" t="str">
        <x:v>CASH FLOW STATEMENT | HISTORICAL &amp; FORECAST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1" customHeight="1">
      <x:c r="A2" s="3" t="str">
        <x:v>Domino’s Pizza Group plc | GBP millions, except per-share data and percentages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 ht="23" customHeight="1">
      <x:c r="A4" s="7"/>
      <x:c r="B4" s="7" t="str">
        <x:v>FY2021A</x:v>
      </x:c>
      <x:c r="C4" s="7" t="str">
        <x:v>FY2022A</x:v>
      </x:c>
      <x:c r="D4" s="7" t="str">
        <x:v>FY2023A</x:v>
      </x:c>
      <x:c r="E4" s="7" t="str">
        <x:v>FY2024A</x:v>
      </x:c>
      <x:c r="F4" s="7" t="str">
        <x:v>FY2025A</x:v>
      </x:c>
      <x:c r="G4" s="7" t="str">
        <x:v>FY2026E</x:v>
      </x:c>
      <x:c r="H4" s="7" t="str">
        <x:v>FY2027E</x:v>
      </x:c>
      <x:c r="I4" s="7" t="str">
        <x:v>FY2028E</x:v>
      </x:c>
      <x:c r="J4" s="7" t="str">
        <x:v>FY2029E</x:v>
      </x:c>
      <x:c r="K4" s="7" t="str">
        <x:v>FY2030E</x:v>
      </x:c>
    </x:row>
    <x:row r="5">
      <x:c r="B5" s="16"/>
      <x:c r="C5" s="16"/>
      <x:c r="D5" s="16"/>
      <x:c r="E5" s="16"/>
      <x:c r="F5" s="16"/>
      <x:c r="G5" s="16"/>
      <x:c r="H5" s="16"/>
      <x:c r="I5" s="16"/>
      <x:c r="J5" s="16"/>
      <x:c r="K5" s="16"/>
    </x:row>
    <x:row r="6" ht="23" customHeight="1">
      <x:c r="A6" s="11" t="str">
        <x:v>HISTORICAL CASH FLOWS / SIMPLIFIED FORECAST CASH BRIDGE</x:v>
      </x:c>
      <x:c r="B6" s="17"/>
      <x:c r="C6" s="17"/>
      <x:c r="D6" s="17"/>
      <x:c r="E6" s="17"/>
      <x:c r="F6" s="17"/>
      <x:c r="G6" s="17"/>
      <x:c r="H6" s="17"/>
      <x:c r="I6" s="17"/>
      <x:c r="J6" s="17"/>
      <x:c r="K6" s="17"/>
    </x:row>
    <x:row r="7">
      <x:c r="A7" t="str">
        <x:v>Reported operating cash flow</x:v>
      </x:c>
      <x:c r="B7" s="16" t="n">
        <x:v>113.9</x:v>
      </x:c>
      <x:c r="C7" s="16" t="n">
        <x:v>85.1</x:v>
      </x:c>
      <x:c r="D7" s="16" t="n">
        <x:v>113.5</x:v>
      </x:c>
      <x:c r="E7" s="16" t="n">
        <x:v>103.5</x:v>
      </x:c>
      <x:c r="F7" s="16" t="n">
        <x:v>103.9</x:v>
      </x:c>
      <x:c r="G7" s="16"/>
      <x:c r="H7" s="16"/>
      <x:c r="I7" s="16"/>
      <x:c r="J7" s="16"/>
      <x:c r="K7" s="16"/>
    </x:row>
    <x:row r="8">
      <x:c r="A8" t="str">
        <x:v>Reported capital purchases (positive)</x:v>
      </x:c>
      <x:c r="B8" s="16" t="n">
        <x:v>14.3</x:v>
      </x:c>
      <x:c r="C8" s="16" t="n">
        <x:v>19.7</x:v>
      </x:c>
      <x:c r="D8" s="16" t="n">
        <x:v>20.8</x:v>
      </x:c>
      <x:c r="E8" s="16" t="n">
        <x:v>18.5</x:v>
      </x:c>
      <x:c r="F8" s="16" t="n">
        <x:v>24.1</x:v>
      </x:c>
      <x:c r="G8" s="16"/>
      <x:c r="H8" s="16"/>
      <x:c r="I8" s="16"/>
      <x:c r="J8" s="16"/>
      <x:c r="K8" s="16"/>
    </x:row>
    <x:row r="9">
      <x:c r="A9" t="str">
        <x:v>Reported CFO less capital purchases</x:v>
      </x:c>
      <x:c r="B9" s="16" t="n">
        <x:f>B7-B8</x:f>
        <x:v>99.60000000000001</x:v>
      </x:c>
      <x:c r="C9" s="16" t="n">
        <x:f>C7-C8</x:f>
        <x:v>65.39999999999999</x:v>
      </x:c>
      <x:c r="D9" s="16" t="n">
        <x:f>D7-D8</x:f>
        <x:v>92.7</x:v>
      </x:c>
      <x:c r="E9" s="16" t="n">
        <x:f>E7-E8</x:f>
        <x:v>85</x:v>
      </x:c>
      <x:c r="F9" s="16" t="n">
        <x:f>F7-F8</x:f>
        <x:v>79.80000000000001</x:v>
      </x:c>
      <x:c r="G9" s="16"/>
      <x:c r="H9" s="16"/>
      <x:c r="I9" s="16"/>
      <x:c r="J9" s="16"/>
      <x:c r="K9" s="16"/>
    </x:row>
    <x:row r="10">
      <x:c r="A10" t="str">
        <x:v>Reported net investing cash flow</x:v>
      </x:c>
      <x:c r="B10" s="16" t="n">
        <x:v>32.8</x:v>
      </x:c>
      <x:c r="C10" s="16" t="n">
        <x:v>29.5</x:v>
      </x:c>
      <x:c r="D10" s="16" t="n">
        <x:v>94.7</x:v>
      </x:c>
      <x:c r="E10" s="16" t="n">
        <x:v>-0.2</x:v>
      </x:c>
      <x:c r="F10" s="16" t="n">
        <x:v>18.5</x:v>
      </x:c>
      <x:c r="G10" s="16"/>
      <x:c r="H10" s="16"/>
      <x:c r="I10" s="16"/>
      <x:c r="J10" s="16"/>
      <x:c r="K10" s="16"/>
    </x:row>
    <x:row r="11">
      <x:c r="A11" t="str">
        <x:v>Reported net financing cash flow</x:v>
      </x:c>
      <x:c r="B11" s="16" t="n">
        <x:v>-174.7</x:v>
      </x:c>
      <x:c r="C11" s="16" t="n">
        <x:v>-127.4</x:v>
      </x:c>
      <x:c r="D11" s="16" t="n">
        <x:v>-186.5</x:v>
      </x:c>
      <x:c r="E11" s="16" t="n">
        <x:v>-103</x:v>
      </x:c>
      <x:c r="F11" s="16" t="n">
        <x:v>-149.9</x:v>
      </x:c>
      <x:c r="G11" s="16"/>
      <x:c r="H11" s="16"/>
      <x:c r="I11" s="16"/>
      <x:c r="J11" s="16"/>
      <x:c r="K11" s="16"/>
    </x:row>
    <x:row r="12">
      <x:c r="A12" t="str">
        <x:v>Reported cash at period end</x:v>
      </x:c>
      <x:c r="B12" s="16" t="n">
        <x:v>42.8</x:v>
      </x:c>
      <x:c r="C12" s="16" t="n">
        <x:v>30.4</x:v>
      </x:c>
      <x:c r="D12" s="16" t="n">
        <x:v>52.1</x:v>
      </x:c>
      <x:c r="E12" s="16" t="n">
        <x:v>52.2</x:v>
      </x:c>
      <x:c r="F12" s="16" t="n">
        <x:v>24.6</x:v>
      </x:c>
      <x:c r="G12" s="16"/>
      <x:c r="H12" s="16"/>
      <x:c r="I12" s="16"/>
      <x:c r="J12" s="16"/>
      <x:c r="K12" s="16"/>
    </x:row>
    <x:row r="13"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>
      <x:c r="A14" t="str">
        <x:v>PPE &amp; intangible amortisation / depreciation</x:v>
      </x:c>
      <x:c r="B14" s="16" t="n">
        <x:v>17.4</x:v>
      </x:c>
      <x:c r="C14" s="16" t="n">
        <x:v>18.7</x:v>
      </x:c>
      <x:c r="D14" s="16" t="n">
        <x:v>21.9</x:v>
      </x:c>
      <x:c r="E14" s="16" t="n">
        <x:v>21.7</x:v>
      </x:c>
      <x:c r="F14" s="16" t="n">
        <x:v>28.6</x:v>
      </x:c>
      <x:c r="G14" s="16" t="n">
        <x:f>'Income Statement'!G8*Assumptions!G20</x:f>
        <x:v>22.7893323709852</x:v>
      </x:c>
      <x:c r="H14" s="16" t="n">
        <x:f>'Income Statement'!H8*Assumptions!H20</x:f>
        <x:v>23.621932731865744</x:v>
      </x:c>
      <x:c r="I14" s="16" t="n">
        <x:f>'Income Statement'!I8*Assumptions!I20</x:f>
        <x:v>24.474383503789234</x:v>
      </x:c>
      <x:c r="J14" s="16" t="n">
        <x:f>'Income Statement'!J8*Assumptions!J20</x:f>
        <x:v>25.34709286400576</x:v>
      </x:c>
      <x:c r="K14" s="16" t="n">
        <x:f>'Income Statement'!K8*Assumptions!K20</x:f>
        <x:v>26.240476768740425</x:v>
      </x:c>
    </x:row>
    <x:row r="15">
      <x:c r="A15" t="str">
        <x:v>Right-of-use depreciation</x:v>
      </x:c>
      <x:c r="B15" s="16"/>
      <x:c r="C15" s="16"/>
      <x:c r="D15" s="16"/>
      <x:c r="E15" s="16"/>
      <x:c r="F15" s="16"/>
      <x:c r="G15" s="16" t="n">
        <x:f>'Income Statement'!G8*Assumptions!G21</x:f>
        <x:v>6.836799711295559</x:v>
      </x:c>
      <x:c r="H15" s="16" t="n">
        <x:f>'Income Statement'!H8*Assumptions!H21</x:f>
        <x:v>7.086579819559723</x:v>
      </x:c>
      <x:c r="I15" s="16" t="n">
        <x:f>'Income Statement'!I8*Assumptions!I21</x:f>
        <x:v>7.34231505113677</x:v>
      </x:c>
      <x:c r="J15" s="16" t="n">
        <x:f>'Income Statement'!J8*Assumptions!J21</x:f>
        <x:v>7.604127859201727</x:v>
      </x:c>
      <x:c r="K15" s="16" t="n">
        <x:f>'Income Statement'!K8*Assumptions!K21</x:f>
        <x:v>7.872143030622127</x:v>
      </x:c>
    </x:row>
    <x:row r="16">
      <x:c r="A16" t="str">
        <x:v>NOPAT before financing</x:v>
      </x:c>
      <x:c r="B16" s="16" t="n">
        <x:f>'Income Statement'!B17</x:f>
        <x:v>81.67500000000001</x:v>
      </x:c>
      <x:c r="C16" s="16" t="n">
        <x:f>'Income Statement'!C17</x:f>
        <x:v>77.4</x:v>
      </x:c>
      <x:c r="D16" s="16" t="n">
        <x:f>'Income Statement'!D17</x:f>
        <x:v>85.65</x:v>
      </x:c>
      <x:c r="E16" s="16" t="n">
        <x:f>'Income Statement'!E17</x:f>
        <x:v>91.275</x:v>
      </x:c>
      <x:c r="F16" s="16" t="n">
        <x:f>'Income Statement'!F17</x:f>
        <x:v>72.225</x:v>
      </x:c>
      <x:c r="G16" s="16" t="n">
        <x:f>'Income Statement'!G17</x:f>
        <x:v>74.76289095200286</x:v>
      </x:c>
      <x:c r="H16" s="16" t="n">
        <x:f>'Income Statement'!H17</x:f>
        <x:v>77.43892309550338</x:v>
      </x:c>
      <x:c r="I16" s="16" t="n">
        <x:f>'Income Statement'!I17</x:f>
        <x:v>80.17607790885414</x:v>
      </x:c>
      <x:c r="J16" s="16" t="n">
        <x:f>'Income Statement'!J17</x:f>
        <x:v>82.97555191525842</x:v>
      </x:c>
      <x:c r="K16" s="16" t="n">
        <x:f>'Income Statement'!K17</x:f>
        <x:v>85.83856325527012</x:v>
      </x:c>
    </x:row>
    <x:row r="17">
      <x:c r="A17" t="str">
        <x:v>Change in operating NWC (from operating BS components)</x:v>
      </x:c>
      <x:c r="B17" s="16" t="n">
        <x:f>B28</x:f>
        <x:v>-10.399999999999999</x:v>
      </x:c>
      <x:c r="C17" s="16" t="n">
        <x:f>C28</x:f>
        <x:v>12.699999999999996</x:v>
      </x:c>
      <x:c r="D17" s="16" t="n">
        <x:f>D28</x:f>
        <x:v>-12.299999999999997</x:v>
      </x:c>
      <x:c r="E17" s="16" t="n">
        <x:f>E28</x:f>
        <x:v>-6.000000000000007</x:v>
      </x:c>
      <x:c r="F17" s="16" t="n">
        <x:f>F28</x:f>
        <x:v>6.200000000000017</x:v>
      </x:c>
      <x:c r="G17" s="16" t="n">
        <x:f>'Balance Sheet'!G24-'Balance Sheet'!F24</x:f>
        <x:v>-1.7293554673402802</x:v>
      </x:c>
      <x:c r="H17" s="16" t="n">
        <x:f>'Balance Sheet'!H24-'Balance Sheet'!G24</x:f>
        <x:v>-1.824151699747386</x:v>
      </x:c>
      <x:c r="I17" s="16" t="n">
        <x:f>'Balance Sheet'!I24-'Balance Sheet'!H24</x:f>
        <x:v>-1.8676421457596533</x:v>
      </x:c>
      <x:c r="J17" s="16" t="n">
        <x:f>'Balance Sheet'!J24-'Balance Sheet'!I24</x:f>
        <x:v>-1.9120268710198296</x:v>
      </x:c>
      <x:c r="K17" s="16" t="n">
        <x:f>'Balance Sheet'!K24-'Balance Sheet'!J24</x:f>
        <x:v>-1.9573229185550645</x:v>
      </x:c>
    </x:row>
    <x:row r="18">
      <x:c r="A18" t="str">
        <x:v>Cash CapEx (positive)</x:v>
      </x:c>
      <x:c r="B18" s="16" t="n">
        <x:f>B8</x:f>
        <x:v>14.3</x:v>
      </x:c>
      <x:c r="C18" s="16" t="n">
        <x:f>C8</x:f>
        <x:v>19.7</x:v>
      </x:c>
      <x:c r="D18" s="16" t="n">
        <x:f>D8</x:f>
        <x:v>20.8</x:v>
      </x:c>
      <x:c r="E18" s="16" t="n">
        <x:f>E8</x:f>
        <x:v>18.5</x:v>
      </x:c>
      <x:c r="F18" s="16" t="n">
        <x:f>F8</x:f>
        <x:v>24.1</x:v>
      </x:c>
      <x:c r="G18" s="16" t="n">
        <x:f>'Income Statement'!G8*Assumptions!G19</x:f>
        <x:v>35.49956456153013</x:v>
      </x:c>
      <x:c r="H18" s="16" t="n">
        <x:f>'Income Statement'!H8*Assumptions!H19</x:f>
        <x:v>33.116875965860686</x:v>
      </x:c>
      <x:c r="I18" s="16" t="n">
        <x:f>'Income Statement'!I8*Assumptions!I19</x:f>
        <x:v>32.40575246698312</x:v>
      </x:c>
      <x:c r="J18" s="16" t="n">
        <x:f>'Income Statement'!J8*Assumptions!J19</x:f>
        <x:v>31.587086270890087</x:v>
      </x:c>
      <x:c r="K18" s="16" t="n">
        <x:f>'Income Statement'!K8*Assumptions!K19</x:f>
        <x:v>32.70040504962671</x:v>
      </x:c>
    </x:row>
    <x:row r="19">
      <x:c r="A19" t="str">
        <x:v>Unlevered free cash flow (FCFF)</x:v>
      </x:c>
      <x:c r="B19" s="16" t="n">
        <x:f>B16+B14-B18-B17</x:f>
        <x:v>95.17500000000001</x:v>
      </x:c>
      <x:c r="C19" s="16" t="n">
        <x:f>C16+C14-C18-C17</x:f>
        <x:v>63.70000000000001</x:v>
      </x:c>
      <x:c r="D19" s="16" t="n">
        <x:f>D16+D14-D18-D17</x:f>
        <x:v>99.05000000000001</x:v>
      </x:c>
      <x:c r="E19" s="16" t="n">
        <x:f>E16+E14-E18-E17</x:f>
        <x:v>100.47500000000002</x:v>
      </x:c>
      <x:c r="F19" s="16" t="n">
        <x:f>F16+F14-F18-F17</x:f>
        <x:v>70.52499999999998</x:v>
      </x:c>
      <x:c r="G19" s="16" t="n">
        <x:f>G16+G14+G15-G18-G17</x:f>
        <x:v>70.61881394009377</x:v>
      </x:c>
      <x:c r="H19" s="16" t="n">
        <x:f>H16+H14+H15-H18-H17</x:f>
        <x:v>76.85471138081554</x:v>
      </x:c>
      <x:c r="I19" s="16" t="n">
        <x:f>I16+I14+I15-I18-I17</x:f>
        <x:v>81.45466614255668</x:v>
      </x:c>
      <x:c r="J19" s="16" t="n">
        <x:f>J16+J14+J15-J18-J17</x:f>
        <x:v>86.25171323859566</x:v>
      </x:c>
      <x:c r="K19" s="16" t="n">
        <x:f>K16+K14+K15-K18-K17</x:f>
        <x:v>89.20810092356102</x:v>
      </x:c>
    </x:row>
    <x:row r="20"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t="str">
        <x:v>Forecast after-tax financing costs</x:v>
      </x:c>
      <x:c r="B21" s="16"/>
      <x:c r="C21" s="16"/>
      <x:c r="D21" s="16"/>
      <x:c r="E21" s="16"/>
      <x:c r="F21" s="16"/>
      <x:c r="G21" s="16" t="n">
        <x:f>'Income Statement'!G25*(1-Assumptions!$B$10)</x:f>
        <x:v>25.554691054758667</x:v>
      </x:c>
      <x:c r="H21" s="16" t="n">
        <x:f>'Income Statement'!H25*(1-Assumptions!$B$10)</x:f>
        <x:v>25.554691054758667</x:v>
      </x:c>
      <x:c r="I21" s="16" t="n">
        <x:f>'Income Statement'!I25*(1-Assumptions!$B$10)</x:f>
        <x:v>25.554691054758667</x:v>
      </x:c>
      <x:c r="J21" s="16" t="n">
        <x:f>'Income Statement'!J25*(1-Assumptions!$B$10)</x:f>
        <x:v>25.554691054758667</x:v>
      </x:c>
      <x:c r="K21" s="16" t="n">
        <x:f>'Income Statement'!K25*(1-Assumptions!$B$10)</x:f>
        <x:v>25.554691054758667</x:v>
      </x:c>
    </x:row>
    <x:row r="22">
      <x:c r="A22" t="str">
        <x:v>Simplified cash from operations (after financing)</x:v>
      </x:c>
      <x:c r="B22" s="16"/>
      <x:c r="C22" s="16"/>
      <x:c r="D22" s="16"/>
      <x:c r="E22" s="16"/>
      <x:c r="F22" s="16"/>
      <x:c r="G22" s="16" t="n">
        <x:f>G16+G14+G15-G17-G21</x:f>
        <x:v>80.56368744686523</x:v>
      </x:c>
      <x:c r="H22" s="16" t="n">
        <x:f>H16+H14+H15-H17-H21</x:f>
        <x:v>84.41689629191757</x:v>
      </x:c>
      <x:c r="I22" s="16" t="n">
        <x:f>I16+I14+I15-I17-I21</x:f>
        <x:v>88.30572755478114</x:v>
      </x:c>
      <x:c r="J22" s="16" t="n">
        <x:f>J16+J14+J15-J17-J21</x:f>
        <x:v>92.28410845472708</x:v>
      </x:c>
      <x:c r="K22" s="16" t="n">
        <x:f>K16+K14+K15-K17-K21</x:f>
        <x:v>96.35381491842907</x:v>
      </x:c>
    </x:row>
    <x:row r="23">
      <x:c r="A23" t="str">
        <x:v>Assumed shareholder dividends (illustrative)</x:v>
      </x:c>
      <x:c r="B23" s="16"/>
      <x:c r="C23" s="16"/>
      <x:c r="D23" s="16"/>
      <x:c r="E23" s="16"/>
      <x:c r="F23" s="16"/>
      <x:c r="G23" s="16" t="n">
        <x:f>'Income Statement'!G26*Assumptions!$B$11</x:f>
        <x:v>29.524919938346518</x:v>
      </x:c>
      <x:c r="H23" s="16" t="n">
        <x:f>'Income Statement'!H26*Assumptions!$B$11</x:f>
        <x:v>31.13053922444683</x:v>
      </x:c>
      <x:c r="I23" s="16" t="n">
        <x:f>'Income Statement'!I26*Assumptions!$B$11</x:f>
        <x:v>32.77283211245728</x:v>
      </x:c>
      <x:c r="J23" s="16" t="n">
        <x:f>'Income Statement'!J26*Assumptions!$B$11</x:f>
        <x:v>34.45251651629985</x:v>
      </x:c>
      <x:c r="K23" s="16" t="n">
        <x:f>'Income Statement'!K26*Assumptions!$B$11</x:f>
        <x:v>36.17032332030686</x:v>
      </x:c>
    </x:row>
    <x:row r="24">
      <x:c r="A24" t="str">
        <x:v>Simplified cash after CapEx and dividends</x:v>
      </x:c>
      <x:c r="B24" s="16"/>
      <x:c r="C24" s="16"/>
      <x:c r="D24" s="16"/>
      <x:c r="E24" s="16"/>
      <x:c r="F24" s="16"/>
      <x:c r="G24" s="16" t="n">
        <x:f>G22-G18-G23</x:f>
        <x:v>15.539202946988585</x:v>
      </x:c>
      <x:c r="H24" s="16" t="n">
        <x:f>H22-H18-H23</x:f>
        <x:v>20.16948110161005</x:v>
      </x:c>
      <x:c r="I24" s="16" t="n">
        <x:f>I22-I18-I23</x:f>
        <x:v>23.127142975340746</x:v>
      </x:c>
      <x:c r="J24" s="16" t="n">
        <x:f>J22-J18-J23</x:f>
        <x:v>26.24450566753714</x:v>
      </x:c>
      <x:c r="K24" s="16" t="n">
        <x:f>K22-K18-K23</x:f>
        <x:v>27.483086548495493</x:v>
      </x:c>
    </x:row>
    <x:row r="25">
      <x:c r="A25" t="str">
        <x:v>Beginning cash</x:v>
      </x:c>
      <x:c r="B25" s="16"/>
      <x:c r="C25" s="16"/>
      <x:c r="D25" s="16"/>
      <x:c r="E25" s="16"/>
      <x:c r="F25" s="16"/>
      <x:c r="G25" s="16" t="n">
        <x:f>'Balance Sheet'!$F$11</x:f>
        <x:v>24.6</x:v>
      </x:c>
      <x:c r="H25" s="16" t="n">
        <x:f>G26</x:f>
        <x:v>40.13920294698859</x:v>
      </x:c>
      <x:c r="I25" s="16" t="n">
        <x:f>H26</x:f>
        <x:v>60.308684048598636</x:v>
      </x:c>
      <x:c r="J25" s="16" t="n">
        <x:f>I26</x:f>
        <x:v>83.43582702393938</x:v>
      </x:c>
      <x:c r="K25" s="16" t="n">
        <x:f>J26</x:f>
        <x:v>109.68033269147652</x:v>
      </x:c>
    </x:row>
    <x:row r="26">
      <x:c r="A26" t="str">
        <x:v>Projected ending cash</x:v>
      </x:c>
      <x:c r="B26" s="16"/>
      <x:c r="C26" s="16"/>
      <x:c r="D26" s="16"/>
      <x:c r="E26" s="16"/>
      <x:c r="F26" s="16"/>
      <x:c r="G26" s="16" t="n">
        <x:f>G25+G24</x:f>
        <x:v>40.13920294698859</x:v>
      </x:c>
      <x:c r="H26" s="16" t="n">
        <x:f>H25+H24</x:f>
        <x:v>60.308684048598636</x:v>
      </x:c>
      <x:c r="I26" s="16" t="n">
        <x:f>I25+I24</x:f>
        <x:v>83.43582702393938</x:v>
      </x:c>
      <x:c r="J26" s="16" t="n">
        <x:f>J25+J24</x:f>
        <x:v>109.68033269147652</x:v>
      </x:c>
      <x:c r="K26" s="16" t="n">
        <x:f>K25+K24</x:f>
        <x:v>137.16341923997203</x:v>
      </x:c>
    </x:row>
    <x:row r="27"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t="str">
        <x:v>Historical NWC change (source classified)</x:v>
      </x:c>
      <x:c r="B28" s="16" t="n">
        <x:v>-10.399999999999999</x:v>
      </x:c>
      <x:c r="C28" s="16" t="n">
        <x:v>12.699999999999996</x:v>
      </x:c>
      <x:c r="D28" s="16" t="n">
        <x:v>-12.299999999999997</x:v>
      </x:c>
      <x:c r="E28" s="16" t="n">
        <x:v>-6.000000000000007</x:v>
      </x:c>
      <x:c r="F28" s="16" t="n">
        <x:v>6.200000000000017</x:v>
      </x:c>
      <x:c r="G28" s="16"/>
      <x:c r="H28" s="16"/>
      <x:c r="I28" s="16"/>
      <x:c r="J28" s="16"/>
      <x:c r="K28" s="16"/>
    </x:row>
    <x:row r="29">
      <x:c r="A29" t="str">
        <x:v>Historical CFO less CapEx vs indicative FCFF difference</x:v>
      </x:c>
      <x:c r="B29" s="16" t="n">
        <x:f>B9-B19</x:f>
        <x:v>4.424999999999997</x:v>
      </x:c>
      <x:c r="C29" s="16" t="n">
        <x:f>C9-C19</x:f>
        <x:v>1.6999999999999815</x:v>
      </x:c>
      <x:c r="D29" s="16" t="n">
        <x:f>D9-D19</x:f>
        <x:v>-6.3500000000000085</x:v>
      </x:c>
      <x:c r="E29" s="16" t="n">
        <x:f>E9-E19</x:f>
        <x:v>-15.475000000000023</x:v>
      </x:c>
      <x:c r="F29" s="16" t="n">
        <x:f>F9-F19</x:f>
        <x:v>9.275000000000034</x:v>
      </x:c>
      <x:c r="G29" s="16"/>
      <x:c r="H29" s="16"/>
      <x:c r="I29" s="16"/>
      <x:c r="J29" s="16"/>
      <x:c r="K29" s="16"/>
    </x:row>
    <x:row r="30"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t="str">
        <x:v>Forecast cash bridge reconciles to independently rolled-forward forecast equity and assets/liabilities. Financing/lease principal, sublease runoff, buybacks and other transactions remain intentionally unprojected and are held flat; no implied audit of real future financing.</x:v>
      </x:c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26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</x:row>
    <x:row r="36">
      <x:c r="A36" s="26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</x:row>
    <x:row r="37">
      <x:c r="A37" s="26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</x:row>
    <x:row r="38">
      <x:c r="A38" s="26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</x:row>
    <x:row r="39">
      <x:c r="A39" s="26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</x:row>
    <x:row r="40">
      <x:c r="A40" s="26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</x:row>
    <x:row r="41">
      <x:c r="A41" s="26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</x:row>
    <x:row r="42">
      <x:c r="A42" s="26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</x:row>
    <x:row r="43">
      <x:c r="A43" s="26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</x:row>
    <x:row r="44">
      <x:c r="A44" s="26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</x:row>
    <x:row r="45">
      <x:c r="A45" s="26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</x:row>
    <x:row r="46">
      <x:c r="A46" s="26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</x:row>
    <x:row r="47">
      <x:c r="A47" s="26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</x:row>
    <x:row r="48">
      <x:c r="A48" s="26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</x:row>
    <x:row r="49">
      <x:c r="A49" s="26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</x:row>
    <x:row r="50">
      <x:c r="A50" s="26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</x:row>
    <x:row r="51">
      <x:c r="A51" s="26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</x:row>
    <x:row r="52">
      <x:c r="A52" s="26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</x:row>
    <x:row r="53">
      <x:c r="A53" s="26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</x:row>
    <x:row r="54">
      <x:c r="A54" s="26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</x:row>
    <x:row r="55">
      <x:c r="A55" s="26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3" max="13" width="48" hidden="0" customWidth="1"/>
    <x:col min="14" max="14" width="52" hidden="0" customWidth="1"/>
  </x:cols>
  <x:sheetData>
    <x:row r="1" ht="29" customHeight="1">
      <x:c r="A1" s="3" t="str">
        <x:v>DISCOUNTED CASH FLOW | ENTERPRISE TO EQUITY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1" customHeight="1">
      <x:c r="A2" s="3" t="str">
        <x:v>Domino’s Pizza Group plc | GBP millions, except per-share data and percentages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 ht="23" customHeight="1">
      <x:c r="A4" s="7"/>
      <x:c r="B4" s="7" t="str">
        <x:v>FY2021A</x:v>
      </x:c>
      <x:c r="C4" s="7" t="str">
        <x:v>FY2022A</x:v>
      </x:c>
      <x:c r="D4" s="7" t="str">
        <x:v>FY2023A</x:v>
      </x:c>
      <x:c r="E4" s="7" t="str">
        <x:v>FY2024A</x:v>
      </x:c>
      <x:c r="F4" s="7" t="str">
        <x:v>FY2025A</x:v>
      </x:c>
      <x:c r="G4" s="7" t="str">
        <x:v>FY2026E</x:v>
      </x:c>
      <x:c r="H4" s="7" t="str">
        <x:v>FY2027E</x:v>
      </x:c>
      <x:c r="I4" s="7" t="str">
        <x:v>FY2028E</x:v>
      </x:c>
      <x:c r="J4" s="7" t="str">
        <x:v>FY2029E</x:v>
      </x:c>
      <x:c r="K4" s="7" t="str">
        <x:v>FY2030E</x:v>
      </x:c>
    </x:row>
    <x:row r="5">
      <x:c r="B5" s="16"/>
      <x:c r="C5" s="16"/>
      <x:c r="D5" s="16"/>
      <x:c r="E5" s="16"/>
      <x:c r="F5" s="16"/>
      <x:c r="G5" s="16"/>
      <x:c r="H5" s="16"/>
      <x:c r="I5" s="16"/>
      <x:c r="J5" s="16"/>
      <x:c r="K5" s="16"/>
    </x:row>
    <x:row r="6" ht="23" customHeight="1">
      <x:c r="A6" s="11" t="str">
        <x:v>OPERATING FCFF RECONSTRUCTION</x:v>
      </x:c>
      <x:c r="B6" s="17"/>
      <x:c r="C6" s="17"/>
      <x:c r="D6" s="17"/>
      <x:c r="E6" s="17"/>
      <x:c r="F6" s="17"/>
      <x:c r="G6" s="17"/>
      <x:c r="H6" s="17"/>
      <x:c r="I6" s="17"/>
      <x:c r="J6" s="17"/>
      <x:c r="K6" s="17"/>
    </x:row>
    <x:row r="7">
      <x:c r="A7" t="str">
        <x:v>Revenue</x:v>
      </x:c>
      <x:c r="B7" s="16"/>
      <x:c r="C7" s="16"/>
      <x:c r="D7" s="16"/>
      <x:c r="E7" s="16"/>
      <x:c r="F7" s="16" t="n">
        <x:f>'Income Statement'!F8</x:f>
        <x:v>685.4</x:v>
      </x:c>
      <x:c r="G7" s="16" t="n">
        <x:f>'Income Statement'!G8</x:f>
        <x:v>709.9912912306025</x:v>
      </x:c>
      <x:c r="H7" s="16" t="n">
        <x:f>'Income Statement'!H8</x:f>
        <x:v>735.9305770191264</x:v>
      </x:c>
      <x:c r="I7" s="16" t="n">
        <x:f>'Income Statement'!I8</x:f>
        <x:v>762.4882933407791</x:v>
      </x:c>
      <x:c r="J7" s="16" t="n">
        <x:f>'Income Statement'!J8</x:f>
        <x:v>789.6771567722521</x:v>
      </x:c>
      <x:c r="K7" s="16" t="n">
        <x:f>'Income Statement'!K8</x:f>
        <x:v>817.5101262406677</x:v>
      </x:c>
    </x:row>
    <x:row r="8">
      <x:c r="A8" t="str">
        <x:v>Normalized operating EBIT</x:v>
      </x:c>
      <x:c r="B8" s="16"/>
      <x:c r="C8" s="16"/>
      <x:c r="D8" s="16"/>
      <x:c r="E8" s="16"/>
      <x:c r="F8" s="16" t="n">
        <x:f>'Income Statement'!F14</x:f>
        <x:v>96.29999999999998</x:v>
      </x:c>
      <x:c r="G8" s="16" t="n">
        <x:f>'Income Statement'!G14</x:f>
        <x:v>99.6838546026705</x:v>
      </x:c>
      <x:c r="H8" s="16" t="n">
        <x:f>'Income Statement'!H14</x:f>
        <x:v>103.25189746067119</x:v>
      </x:c>
      <x:c r="I8" s="16" t="n">
        <x:f>'Income Statement'!I14</x:f>
        <x:v>106.90143721180551</x:v>
      </x:c>
      <x:c r="J8" s="16" t="n">
        <x:f>'Income Statement'!J14</x:f>
        <x:v>110.63406922034456</x:v>
      </x:c>
      <x:c r="K8" s="16" t="n">
        <x:f>'Income Statement'!K14</x:f>
        <x:v>114.45141767369348</x:v>
      </x:c>
    </x:row>
    <x:row r="9">
      <x:c r="A9" t="str">
        <x:v>Unlevered operating tax</x:v>
      </x:c>
      <x:c r="B9" s="16"/>
      <x:c r="C9" s="16"/>
      <x:c r="D9" s="16"/>
      <x:c r="E9" s="16"/>
      <x:c r="F9" s="16"/>
      <x:c r="G9" s="16" t="n">
        <x:f>'Income Statement'!G16</x:f>
        <x:v>24.920963650667623</x:v>
      </x:c>
      <x:c r="H9" s="16" t="n">
        <x:f>'Income Statement'!H16</x:f>
        <x:v>25.812974365167797</x:v>
      </x:c>
      <x:c r="I9" s="16" t="n">
        <x:f>'Income Statement'!I16</x:f>
        <x:v>26.72535930295138</x:v>
      </x:c>
      <x:c r="J9" s="16" t="n">
        <x:f>'Income Statement'!J16</x:f>
        <x:v>27.65851730508614</x:v>
      </x:c>
      <x:c r="K9" s="16" t="n">
        <x:f>'Income Statement'!K16</x:f>
        <x:v>28.61285441842337</x:v>
      </x:c>
    </x:row>
    <x:row r="10">
      <x:c r="A10" t="str">
        <x:v>NOPAT</x:v>
      </x:c>
      <x:c r="B10" s="16"/>
      <x:c r="C10" s="16"/>
      <x:c r="D10" s="16"/>
      <x:c r="E10" s="16"/>
      <x:c r="F10" s="16"/>
      <x:c r="G10" s="16" t="n">
        <x:f>G8-G9</x:f>
        <x:v>74.76289095200286</x:v>
      </x:c>
      <x:c r="H10" s="16" t="n">
        <x:f>H8-H9</x:f>
        <x:v>77.43892309550338</x:v>
      </x:c>
      <x:c r="I10" s="16" t="n">
        <x:f>I8-I9</x:f>
        <x:v>80.17607790885414</x:v>
      </x:c>
      <x:c r="J10" s="16" t="n">
        <x:f>J8-J9</x:f>
        <x:v>82.97555191525842</x:v>
      </x:c>
      <x:c r="K10" s="16" t="n">
        <x:f>K8-K9</x:f>
        <x:v>85.83856325527012</x:v>
      </x:c>
    </x:row>
    <x:row r="11">
      <x:c r="A11" t="str">
        <x:v>PPE and intangible D&amp;A</x:v>
      </x:c>
      <x:c r="B11" s="16"/>
      <x:c r="C11" s="16"/>
      <x:c r="D11" s="16"/>
      <x:c r="E11" s="16"/>
      <x:c r="F11" s="16" t="n">
        <x:f>'Cash Flow'!F14</x:f>
        <x:v>28.6</x:v>
      </x:c>
      <x:c r="G11" s="16" t="n">
        <x:f>'Cash Flow'!G14</x:f>
        <x:v>22.7893323709852</x:v>
      </x:c>
      <x:c r="H11" s="16" t="n">
        <x:f>'Cash Flow'!H14</x:f>
        <x:v>23.621932731865744</x:v>
      </x:c>
      <x:c r="I11" s="16" t="n">
        <x:f>'Cash Flow'!I14</x:f>
        <x:v>24.474383503789234</x:v>
      </x:c>
      <x:c r="J11" s="16" t="n">
        <x:f>'Cash Flow'!J14</x:f>
        <x:v>25.34709286400576</x:v>
      </x:c>
      <x:c r="K11" s="16" t="n">
        <x:f>'Cash Flow'!K14</x:f>
        <x:v>26.240476768740425</x:v>
      </x:c>
    </x:row>
    <x:row r="12">
      <x:c r="A12" t="str">
        <x:v>Right-of-use depreciation</x:v>
      </x:c>
      <x:c r="B12" s="16"/>
      <x:c r="C12" s="16"/>
      <x:c r="D12" s="16"/>
      <x:c r="E12" s="16"/>
      <x:c r="F12" s="16"/>
      <x:c r="G12" s="16" t="n">
        <x:f>'Cash Flow'!G15</x:f>
        <x:v>6.836799711295559</x:v>
      </x:c>
      <x:c r="H12" s="16" t="n">
        <x:f>'Cash Flow'!H15</x:f>
        <x:v>7.086579819559723</x:v>
      </x:c>
      <x:c r="I12" s="16" t="n">
        <x:f>'Cash Flow'!I15</x:f>
        <x:v>7.34231505113677</x:v>
      </x:c>
      <x:c r="J12" s="16" t="n">
        <x:f>'Cash Flow'!J15</x:f>
        <x:v>7.604127859201727</x:v>
      </x:c>
      <x:c r="K12" s="16" t="n">
        <x:f>'Cash Flow'!K15</x:f>
        <x:v>7.872143030622127</x:v>
      </x:c>
    </x:row>
    <x:row r="13">
      <x:c r="A13" t="str">
        <x:v>Cash CapEx</x:v>
      </x:c>
      <x:c r="B13" s="16"/>
      <x:c r="C13" s="16"/>
      <x:c r="D13" s="16"/>
      <x:c r="E13" s="16"/>
      <x:c r="F13" s="16" t="n">
        <x:f>'Cash Flow'!F18</x:f>
        <x:v>24.1</x:v>
      </x:c>
      <x:c r="G13" s="16" t="n">
        <x:f>'Cash Flow'!G18</x:f>
        <x:v>35.49956456153013</x:v>
      </x:c>
      <x:c r="H13" s="16" t="n">
        <x:f>'Cash Flow'!H18</x:f>
        <x:v>33.116875965860686</x:v>
      </x:c>
      <x:c r="I13" s="16" t="n">
        <x:f>'Cash Flow'!I18</x:f>
        <x:v>32.40575246698312</x:v>
      </x:c>
      <x:c r="J13" s="16" t="n">
        <x:f>'Cash Flow'!J18</x:f>
        <x:v>31.587086270890087</x:v>
      </x:c>
      <x:c r="K13" s="16" t="n">
        <x:f>'Cash Flow'!K18</x:f>
        <x:v>32.70040504962671</x:v>
      </x:c>
    </x:row>
    <x:row r="14">
      <x:c r="A14" t="str">
        <x:v>Change in core operating NWC</x:v>
      </x:c>
      <x:c r="B14" s="16"/>
      <x:c r="C14" s="16"/>
      <x:c r="D14" s="16"/>
      <x:c r="E14" s="16"/>
      <x:c r="F14" s="16" t="n">
        <x:f>'Cash Flow'!F17</x:f>
        <x:v>6.200000000000017</x:v>
      </x:c>
      <x:c r="G14" s="16" t="n">
        <x:f>'Cash Flow'!G17</x:f>
        <x:v>-1.7293554673402802</x:v>
      </x:c>
      <x:c r="H14" s="16" t="n">
        <x:f>'Cash Flow'!H17</x:f>
        <x:v>-1.824151699747386</x:v>
      </x:c>
      <x:c r="I14" s="16" t="n">
        <x:f>'Cash Flow'!I17</x:f>
        <x:v>-1.8676421457596533</x:v>
      </x:c>
      <x:c r="J14" s="16" t="n">
        <x:f>'Cash Flow'!J17</x:f>
        <x:v>-1.9120268710198296</x:v>
      </x:c>
      <x:c r="K14" s="16" t="n">
        <x:f>'Cash Flow'!K17</x:f>
        <x:v>-1.9573229185550645</x:v>
      </x:c>
    </x:row>
    <x:row r="15">
      <x:c r="A15" t="str">
        <x:v>Unlevered FCFF</x:v>
      </x:c>
      <x:c r="B15" s="16"/>
      <x:c r="C15" s="16"/>
      <x:c r="D15" s="16"/>
      <x:c r="E15" s="16"/>
      <x:c r="F15" s="16" t="n">
        <x:f>'Cash Flow'!F19</x:f>
        <x:v>70.52499999999998</x:v>
      </x:c>
      <x:c r="G15" s="16" t="n">
        <x:f>SUM(G10:G12)-G13-G14</x:f>
        <x:v>70.61881394009377</x:v>
      </x:c>
      <x:c r="H15" s="16" t="n">
        <x:f>SUM(H10:H12)-H13-H14</x:f>
        <x:v>76.85471138081554</x:v>
      </x:c>
      <x:c r="I15" s="16" t="n">
        <x:f>SUM(I10:I12)-I13-I14</x:f>
        <x:v>81.45466614255668</x:v>
      </x:c>
      <x:c r="J15" s="16" t="n">
        <x:f>SUM(J10:J12)-J13-J14</x:f>
        <x:v>86.25171323859566</x:v>
      </x:c>
      <x:c r="K15" s="16" t="n">
        <x:f>SUM(K10:K12)-K13-K14</x:f>
        <x:v>89.20810092356102</x:v>
      </x:c>
    </x:row>
    <x:row r="16"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 ht="23" customHeight="1">
      <x:c r="A20" s="11" t="str">
        <x:v>DISCOUNTED CASH FLOW</x:v>
      </x:c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</x:row>
    <x:row r="21">
      <x:c r="A21" t="str">
        <x:v>Forecast year</x:v>
      </x:c>
      <x:c r="B21" s="16"/>
      <x:c r="C21" s="16"/>
      <x:c r="D21" s="16"/>
      <x:c r="E21" s="16"/>
      <x:c r="F21" s="16"/>
      <x:c r="G21" s="16" t="n">
        <x:v>1</x:v>
      </x:c>
      <x:c r="H21" s="16" t="n">
        <x:v>2</x:v>
      </x:c>
      <x:c r="I21" s="16" t="n">
        <x:v>3</x:v>
      </x:c>
      <x:c r="J21" s="16" t="n">
        <x:v>4</x:v>
      </x:c>
      <x:c r="K21" s="16" t="n">
        <x:v>5</x:v>
      </x:c>
    </x:row>
    <x:row r="22">
      <x:c r="A22" t="str">
        <x:v>Discount factor (year-end)</x:v>
      </x:c>
      <x:c r="B22" s="16"/>
      <x:c r="C22" s="16"/>
      <x:c r="D22" s="16"/>
      <x:c r="E22" s="16"/>
      <x:c r="F22" s="16"/>
      <x:c r="G22" s="16" t="n">
        <x:f>1/(1+$B$25)^G21</x:f>
        <x:v>0.931907623068765</x:v>
      </x:c>
      <x:c r="H22" s="16" t="n">
        <x:f>1/(1+$B$25)^H21</x:f>
        <x:v>0.8684518179336754</x:v>
      </x:c>
      <x:c r="I22" s="16" t="n">
        <x:f>1/(1+$B$25)^I21</x:f>
        <x:v>0.8093168694003193</x:v>
      </x:c>
      <x:c r="J22" s="16" t="n">
        <x:f>1/(1+$B$25)^J21</x:f>
        <x:v>0.7542085600723057</x:v>
      </x:c>
      <x:c r="K22" s="16" t="n">
        <x:f>1/(1+$B$25)^K21</x:f>
        <x:v>0.7028527065150983</x:v>
      </x:c>
    </x:row>
    <x:row r="23">
      <x:c r="A23" t="str">
        <x:v>Present value of FCFF</x:v>
      </x:c>
      <x:c r="B23" s="16"/>
      <x:c r="C23" s="16"/>
      <x:c r="D23" s="16"/>
      <x:c r="E23" s="16"/>
      <x:c r="F23" s="16"/>
      <x:c r="G23" s="16" t="n">
        <x:f>G15*G22</x:f>
        <x:v>65.81021104284815</x:v>
      </x:c>
      <x:c r="H23" s="16" t="n">
        <x:f>H15*H22</x:f>
        <x:v>66.74461381543719</x:v>
      </x:c>
      <x:c r="I23" s="16" t="n">
        <x:f>I15*I22</x:f>
        <x:v>65.92263540054215</x:v>
      </x:c>
      <x:c r="J23" s="16" t="n">
        <x:f>J15*J22</x:f>
        <x:v>65.05178044545066</x:v>
      </x:c>
      <x:c r="K23" s="16" t="n">
        <x:f>K15*K22</x:f>
        <x:v>62.700155177196905</x:v>
      </x:c>
    </x:row>
    <x:row r="24"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t="str">
        <x:v>WACC</x:v>
      </x:c>
      <x:c r="B25" s="30" t="n">
        <x:f>Assumptions!B44</x:f>
        <x:v>0.07306773251516852</x:v>
      </x:c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t="str">
        <x:v>Terminal growth rate</x:v>
      </x:c>
      <x:c r="B26" s="30" t="n">
        <x:f>Assumptions!B9</x:f>
        <x:v>0.02</x:v>
      </x:c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t="str">
        <x:v>FY2031 FCFF</x:v>
      </x:c>
      <x:c r="B27" s="16" t="n">
        <x:f>K15*(1+B26)</x:f>
        <x:v>90.99226294203224</x:v>
      </x:c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t="str">
        <x:v>Terminal value at FY2030</x:v>
      </x:c>
      <x:c r="B28" s="16" t="n">
        <x:f>B27/(B25-B26)</x:f>
        <x:v>1714.6438830041145</x:v>
      </x:c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t="str">
        <x:v>PV of terminal value</x:v>
      </x:c>
      <x:c r="B29" s="16" t="n">
        <x:f>B28*K22</x:f>
        <x:v>1205.1420938789995</x:v>
      </x:c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t="str">
        <x:v>PV of explicit FCFF</x:v>
      </x:c>
      <x:c r="B30" s="16" t="n">
        <x:f>SUM(G23:K23)</x:f>
        <x:v>326.22939588147506</x:v>
      </x:c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t="str">
        <x:v>Enterprise value</x:v>
      </x:c>
      <x:c r="B31" s="41" t="n">
        <x:f>B29+B30</x:f>
        <x:v>1531.3714897604746</x:v>
      </x:c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 ht="23" customHeight="1">
      <x:c r="A33" s="11" t="str">
        <x:v>ENTERPRISE TO EQUITY BRIDGE</x:v>
      </x:c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M33" t="str">
        <x:v>FY2025 LEASE / SUBLEASE CHECK | £m</x:v>
      </x:c>
      <x:c r="N33" t="str">
        <x:v>Amount</x:v>
      </x:c>
    </x:row>
    <x:row r="34">
      <x:c r="A34" t="str">
        <x:v>Borrowings less cash</x:v>
      </x:c>
      <x:c r="B34" s="16" t="n">
        <x:f>Assumptions!B37-'Balance Sheet'!F11</x:f>
        <x:v>284.59999999999997</x:v>
      </x:c>
      <x:c r="C34" s="16"/>
      <x:c r="D34" s="16"/>
      <x:c r="E34" s="16"/>
      <x:c r="F34" s="16"/>
      <x:c r="G34" s="16"/>
      <x:c r="H34" s="16"/>
      <x:c r="I34" s="16"/>
      <x:c r="J34" s="16"/>
      <x:c r="K34" s="16"/>
      <x:c r="M34" t="str">
        <x:v>Reported head lease liability</x:v>
      </x:c>
      <x:c r="N34" s="16" t="n">
        <x:f>B35</x:f>
        <x:v>240.1</x:v>
      </x:c>
    </x:row>
    <x:row r="35">
      <x:c r="A35" s="14" t="str">
        <x:v>Head lease liabilities</x:v>
      </x:c>
      <x:c r="B35" s="18" t="n">
        <x:f>Assumptions!B38</x:f>
        <x:v>240.1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M35" t="str">
        <x:v>Reported finance sublease receivable</x:v>
      </x:c>
      <x:c r="N35" s="16" t="n">
        <x:f>B36</x:f>
        <x:v>200.39999999999998</x:v>
      </x:c>
    </x:row>
    <x:row r="36">
      <x:c r="A36" s="14" t="str">
        <x:v>Finance sublease receivables</x:v>
      </x:c>
      <x:c r="B36" s="18" t="n">
        <x:f>'Balance Sheet'!F25</x:f>
        <x:v>200.39999999999998</x:v>
      </x:c>
      <x:c r="C36" s="18"/>
      <x:c r="D36" s="18"/>
      <x:c r="E36" s="18"/>
      <x:c r="F36" s="18"/>
      <x:c r="G36" s="18"/>
      <x:c r="H36" s="18"/>
      <x:c r="I36" s="18"/>
      <x:c r="J36" s="18"/>
      <x:c r="K36" s="18"/>
      <x:c r="M36" t="str">
        <x:v>Net opening lease exposure</x:v>
      </x:c>
      <x:c r="N36" s="16" t="n">
        <x:f>N34-N35</x:f>
        <x:v>39.70000000000002</x:v>
      </x:c>
    </x:row>
    <x:row r="37">
      <x:c r="A37" s="14" t="str">
        <x:v>Equity value</x:v>
      </x:c>
      <x:c r="B37" s="45" t="n">
        <x:f>B31-B34-B35+B36</x:f>
        <x:v>1207.0714897604746</x:v>
      </x:c>
      <x:c r="C37" s="18"/>
      <x:c r="D37" s="18"/>
      <x:c r="E37" s="18"/>
      <x:c r="F37" s="18"/>
      <x:c r="G37" s="18"/>
      <x:c r="H37" s="18"/>
      <x:c r="I37" s="18"/>
      <x:c r="J37" s="18"/>
      <x:c r="K37" s="18"/>
      <x:c r="M37" t="str">
        <x:v>FY2024 finance sublease receivable</x:v>
      </x:c>
      <x:c r="N37" s="16" t="n">
        <x:v>206.7</x:v>
      </x:c>
    </x:row>
    <x:row r="38">
      <x:c r="A38" s="14" t="str">
        <x:v>Shares less EBT (millions)</x:v>
      </x:c>
      <x:c r="B38" s="18" t="n">
        <x:f>Assumptions!B8</x:f>
        <x:v>381.157777</x:v>
      </x:c>
      <x:c r="C38" s="18"/>
      <x:c r="D38" s="18"/>
      <x:c r="E38" s="18"/>
      <x:c r="F38" s="18"/>
      <x:c r="G38" s="18"/>
      <x:c r="H38" s="18"/>
      <x:c r="I38" s="18"/>
      <x:c r="J38" s="18"/>
      <x:c r="K38" s="18"/>
      <x:c r="M38" t="str">
        <x:v>New finance subleases</x:v>
      </x:c>
      <x:c r="N38" s="16" t="n">
        <x:v>8.1</x:v>
      </x:c>
    </x:row>
    <x:row r="39">
      <x:c r="A39" s="14" t="str">
        <x:v>Indicative value (p/share)</x:v>
      </x:c>
      <x:c r="B39" s="45" t="n">
        <x:f>100*B37/B38</x:f>
        <x:v>316.6855204322578</x:v>
      </x:c>
      <x:c r="C39" s="18"/>
      <x:c r="D39" s="18"/>
      <x:c r="E39" s="18"/>
      <x:c r="F39" s="18"/>
      <x:c r="G39" s="18"/>
      <x:c r="H39" s="18"/>
      <x:c r="I39" s="18"/>
      <x:c r="J39" s="18"/>
      <x:c r="K39" s="18"/>
      <x:c r="M39" t="str">
        <x:v>FY2025 sublease interest income</x:v>
      </x:c>
      <x:c r="N39" s="16" t="n">
        <x:v>12.7</x:v>
      </x:c>
    </x:row>
    <x:row r="40">
      <x:c r="A40" s="14" t="str">
        <x:v>Market reference (p/share)</x:v>
      </x:c>
      <x:c r="B40" s="18" t="n">
        <x:f>Assumptions!B7</x:f>
        <x:v>171.8</x:v>
      </x:c>
      <x:c r="C40" s="18"/>
      <x:c r="D40" s="18"/>
      <x:c r="E40" s="18"/>
      <x:c r="F40" s="18"/>
      <x:c r="G40" s="18"/>
      <x:c r="H40" s="18"/>
      <x:c r="I40" s="18"/>
      <x:c r="J40" s="18"/>
      <x:c r="K40" s="18"/>
      <x:c r="M40" t="str">
        <x:v>Lease modifications / FX: receivable</x:v>
      </x:c>
      <x:c r="N40" s="16" t="n">
        <x:v>9.1</x:v>
      </x:c>
    </x:row>
    <x:row r="41">
      <x:c r="A41" s="14" t="str">
        <x:v>Premium / (discount) vs market</x:v>
      </x:c>
      <x:c r="B41" s="32" t="n">
        <x:f>B39/B40-1</x:f>
        <x:v>0.8433383028652957</x:v>
      </x:c>
      <x:c r="C41" s="18"/>
      <x:c r="D41" s="18"/>
      <x:c r="E41" s="18"/>
      <x:c r="F41" s="18"/>
      <x:c r="G41" s="18"/>
      <x:c r="H41" s="18"/>
      <x:c r="I41" s="18"/>
      <x:c r="J41" s="18"/>
      <x:c r="K41" s="18"/>
      <x:c r="M41" t="str">
        <x:v>Finance sublease cash receipts (incl interest)</x:v>
      </x:c>
      <x:c r="N41" s="16" t="n">
        <x:v>-29.9</x:v>
      </x:c>
    </x:row>
    <x:row r="42">
      <x:c r="A42" s="14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M42" t="str">
        <x:v>Sublease disposals</x:v>
      </x:c>
      <x:c r="N42" s="16" t="n">
        <x:v>-6.3</x:v>
      </x:c>
    </x:row>
    <x:row r="43">
      <x:c r="A43" s="14" t="str">
        <x:v>Terminal value / enterprise value</x:v>
      </x:c>
      <x:c r="B43" s="32" t="n">
        <x:f>B29/B31</x:f>
        <x:v>0.7869691331836788</x:v>
      </x:c>
      <x:c r="C43" s="18"/>
      <x:c r="D43" s="18"/>
      <x:c r="E43" s="18"/>
      <x:c r="F43" s="18"/>
      <x:c r="G43" s="18"/>
      <x:c r="H43" s="18"/>
      <x:c r="I43" s="18"/>
      <x:c r="J43" s="18"/>
      <x:c r="K43" s="18"/>
      <x:c r="M43" t="str">
        <x:v>Reconstructed closing finance sublease receivable</x:v>
      </x:c>
      <x:c r="N43" s="16" t="n">
        <x:f>SUM(N37:N42)</x:f>
        <x:v>200.39999999999995</x:v>
      </x:c>
    </x:row>
    <x:row r="44">
      <x:c r="A44" s="14" t="str">
        <x:v>No-growth terminal value (comparison)</x:v>
      </x:c>
      <x:c r="B44" s="18" t="n">
        <x:f>K15/B25</x:f>
        <x:v>1220.8959803842529</x:v>
      </x:c>
      <x:c r="C44" s="18"/>
      <x:c r="D44" s="18"/>
      <x:c r="E44" s="18"/>
      <x:c r="F44" s="18"/>
      <x:c r="G44" s="18"/>
      <x:c r="H44" s="18"/>
      <x:c r="I44" s="18"/>
      <x:c r="J44" s="18"/>
      <x:c r="K44" s="18"/>
      <x:c r="M44" t="str">
        <x:v>Receivable reconciliation (zero = pass)</x:v>
      </x:c>
      <x:c r="N44" s="16" t="n">
        <x:f>N43-N35</x:f>
        <x:v>-2.842170943040401e-14</x:v>
      </x:c>
    </x:row>
    <x:row r="45">
      <x:c r="A45" s="14" t="str">
        <x:v>FY2030 reinvestment / revenue</x:v>
      </x:c>
      <x:c r="B45" s="32" t="n">
        <x:f>Assumptions!K19</x:f>
        <x:v>0.04</x:v>
      </x:c>
      <x:c r="C45" s="18"/>
      <x:c r="D45" s="18"/>
      <x:c r="E45" s="18"/>
      <x:c r="F45" s="18"/>
      <x:c r="G45" s="18"/>
      <x:c r="H45" s="18"/>
      <x:c r="I45" s="18"/>
      <x:c r="J45" s="18"/>
      <x:c r="K45" s="18"/>
      <x:c r="M45" t="str">
        <x:v>FY2025 gross head lease cash repayments</x:v>
      </x:c>
      <x:c r="N45" s="16" t="n">
        <x:v>37.6</x:v>
      </x:c>
    </x:row>
    <x:row r="46">
      <x:c r="A46" s="14" t="str">
        <x:v>Historical FY2025 CFO minus CapEx</x:v>
      </x:c>
      <x:c r="B46" s="18" t="n">
        <x:f>'Cash Flow'!F9</x:f>
        <x:v>79.80000000000001</x:v>
      </x:c>
      <x:c r="C46" s="18"/>
      <x:c r="D46" s="18"/>
      <x:c r="E46" s="18"/>
      <x:c r="F46" s="18"/>
      <x:c r="G46" s="18"/>
      <x:c r="H46" s="18"/>
      <x:c r="I46" s="18"/>
      <x:c r="J46" s="18"/>
      <x:c r="K46" s="18"/>
      <x:c r="M46" t="str">
        <x:v>FY2025 sublease cash receipts</x:v>
      </x:c>
      <x:c r="N46" s="16" t="n">
        <x:v>29.9</x:v>
      </x:c>
    </x:row>
    <x:row r="47">
      <x:c r="A47" s="14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M47" t="str">
        <x:v>Net lease cash outflow</x:v>
      </x:c>
      <x:c r="N47" s="16" t="n">
        <x:f>N45-N46</x:f>
        <x:v>7.700000000000003</x:v>
      </x:c>
    </x:row>
    <x:row r="48">
      <x:c r="A48" s="14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M48" t="str">
        <x:v>Reported net lease outflow</x:v>
      </x:c>
      <x:c r="N48" s="16" t="n">
        <x:v>7.7</x:v>
      </x:c>
    </x:row>
    <x:row r="49">
      <x:c r="A49" s="14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M49" t="str">
        <x:v>Net cash outflow reconciliation (zero = pass)</x:v>
      </x:c>
      <x:c r="N49" s="16" t="n">
        <x:f>N47-N48</x:f>
        <x:v>2.6645352591003757e-15</x:v>
      </x:c>
    </x:row>
    <x:row r="50" ht="23" customHeight="1">
      <x:c r="A50" s="22" t="str">
        <x:v>CHECKS &amp; ECONOMIC INTERPRETATION</x:v>
      </x:c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M50" t="str">
        <x:v>Finance sublease interest excluded from FCFF?</x:v>
      </x:c>
      <x:c r="N50" t="str">
        <x:v>Yes – below EBIT; FCFF uses operating EBIT, not finance income</x:v>
      </x:c>
    </x:row>
    <x:row r="51">
      <x:c r="A51" s="14" t="str">
        <x:v>Arithmetic cross-check (FCFF versus Cash Flow)</x:v>
      </x:c>
      <x:c r="B51" s="18"/>
      <x:c r="C51" s="18"/>
      <x:c r="D51" s="18"/>
      <x:c r="E51" s="18"/>
      <x:c r="F51" s="18"/>
      <x:c r="G51" s="18" t="n">
        <x:f>G15-'Cash Flow'!G19</x:f>
        <x:v>0</x:v>
      </x:c>
      <x:c r="H51" s="18" t="n">
        <x:f>H15-'Cash Flow'!H19</x:f>
        <x:v>0</x:v>
      </x:c>
      <x:c r="I51" s="18" t="n">
        <x:f>I15-'Cash Flow'!I19</x:f>
        <x:v>0</x:v>
      </x:c>
      <x:c r="J51" s="18" t="n">
        <x:f>J15-'Cash Flow'!J19</x:f>
        <x:v>0</x:v>
      </x:c>
      <x:c r="K51" s="18" t="n">
        <x:f>K15-'Cash Flow'!K19</x:f>
        <x:v>0</x:v>
      </x:c>
      <x:c r="M51" t="str">
        <x:v>Assessment</x:v>
      </x:c>
      <x:c r="N51" t="str">
        <x:v>Accounting recognition and selected cash roll checks pass. Future net lease renewal investments and receivable recovery remain unverified.</x:v>
      </x:c>
    </x:row>
    <x:row r="52">
      <x:c r="A52" s="14" t="str">
        <x:v>Enterprise value independent check</x:v>
      </x:c>
      <x:c r="B52" s="18" t="n">
        <x:f>B31-SUM(G23:K23)-B28*K22</x:f>
        <x:v>0</x:v>
      </x:c>
      <x:c r="C52" s="18"/>
      <x:c r="D52" s="18"/>
      <x:c r="E52" s="18"/>
      <x:c r="F52" s="18"/>
      <x:c r="G52" s="18"/>
      <x:c r="H52" s="18"/>
      <x:c r="I52" s="18"/>
      <x:c r="J52" s="18"/>
      <x:c r="K52" s="18"/>
      <x:c r="M52" t="str">
        <x:v>Source</x:v>
      </x:c>
      <x:c r="N52" t="str">
        <x:v>FY2025 annual report, note 15 (Leases), 2025 consolidated income statement; pre-consolidation Lease_Sublease_Reconciliation.</x:v>
      </x:c>
    </x:row>
    <x:row r="53">
      <x:c r="A53" s="14" t="str">
        <x:v>Cash flow accounting policy</x:v>
      </x:c>
      <x:c r="B53" s="18" t="str">
        <x:v>Lease-debt-inclusive FCFF: ROU depreciation added back; contractual head-lease liabilities subtracted once in the equity bridge; finance sublease asset added separately.</x:v>
      </x:c>
      <x:c r="C53" s="18"/>
      <x:c r="D53" s="18"/>
      <x:c r="E53" s="18"/>
      <x:c r="F53" s="18"/>
      <x:c r="G53" s="18"/>
      <x:c r="H53" s="18"/>
      <x:c r="I53" s="18"/>
      <x:c r="J53" s="18"/>
      <x:c r="K53" s="18"/>
      <x:c r="M53" t="str">
        <x:v>Valuation limitation</x:v>
      </x:c>
      <x:c r="N53" t="str">
        <x:v>Lease-debt-inclusive EV bridge is conditional on matching finance income / collections being excluded from operating FCFF.</x:v>
      </x:c>
    </x:row>
    <x:row r="54">
      <x:c r="A54" s="14" t="str">
        <x:v>Critical valuation limitations</x:v>
      </x:c>
      <x:c r="B54" s="18" t="str">
        <x:v>Selected WACC and CapEx are analyst assumptions. Terminal-value dependence, lease replacement, asset recovery and forecast balance financing are material limitations.</x:v>
      </x:c>
      <x:c r="C54" s="18"/>
      <x:c r="D54" s="18"/>
      <x:c r="E54" s="18"/>
      <x:c r="F54" s="18"/>
      <x:c r="G54" s="18"/>
      <x:c r="H54" s="18"/>
      <x:c r="I54" s="18"/>
      <x:c r="J54" s="18"/>
      <x:c r="K54" s="18"/>
    </x:row>
    <x:row r="55">
      <x:c r="A55" s="14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</x:row>
    <x:row r="56">
      <x:c r="A56" s="14" t="str">
        <x:v>Valuation arithmetic and working-capital accounting links are verified; refinancing, sublease asset realisation, forward IFRS leases and terminal reinvestment have not been independently established.</x:v>
      </x:c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9" customHeight="1">
      <x:c r="A1" s="3" t="str">
        <x:v>SENSITIVITY | SCENARIO ANALYSIS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1" customHeight="1">
      <x:c r="A2" s="3" t="str">
        <x:v>Domino’s Pizza Group plc | GBP millions, except per-share data and percentages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 ht="23" customHeight="1">
      <x:c r="A4" s="11" t="str">
        <x:v>WACC / TERMINAL GROWTH | IMPLIED VALUE PER SHARE (PENCE)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t="str">
        <x:v>WACC / g</x:v>
      </x:c>
      <x:c r="B5" s="30" t="n">
        <x:f>Assumptions!$B$9+(-0.01)</x:f>
        <x:v>0.01</x:v>
      </x:c>
      <x:c r="C5" s="30" t="n">
        <x:f>Assumptions!$B$9+(-0.005)</x:f>
        <x:v>0.015</x:v>
      </x:c>
      <x:c r="D5" s="30" t="n">
        <x:f>Assumptions!$B$9+(0)</x:f>
        <x:v>0.02</x:v>
      </x:c>
      <x:c r="E5" s="30" t="n">
        <x:f>Assumptions!$B$9+(0.005)</x:f>
        <x:v>0.025</x:v>
      </x:c>
      <x:c r="F5" s="30" t="n">
        <x:f>Assumptions!$B$9+(0.01)</x:f>
        <x:v>0.03</x:v>
      </x:c>
      <x:c r="G5" s="16"/>
      <x:c r="H5" s="16"/>
      <x:c r="I5" s="16"/>
      <x:c r="J5" s="16"/>
      <x:c r="K5" s="16"/>
    </x:row>
    <x:row r="6">
      <x:c r="A6" s="30" t="n">
        <x:f>Assumptions!$B$44+(-0.015)</x:f>
        <x:v>0.058067732515168516</x:v>
      </x:c>
      <x:c r="B6" s="34" t="n">
        <x:f>100*(SUMPRODUCT(DCF!$G$15:$K$15,1/(1+$A6)^DCF!$G$21:$K$21)+(DCF!$K$15*(1+B$5)/($A6-B$5))/(1+$A6)^5-DCF!$B$34-DCF!$B$35+DCF!$B$36)/DCF!$B$38</x:f>
        <x:v>375.036579353926</x:v>
      </x:c>
      <x:c r="C6" s="34" t="n">
        <x:f>100*(SUMPRODUCT(DCF!$G$15:$K$15,1/(1+$A6)^DCF!$G$21:$K$21)+(DCF!$K$15*(1+C$5)/($A6-C$5))/(1+$A6)^5-DCF!$B$34-DCF!$B$35+DCF!$B$36)/DCF!$B$38</x:f>
        <x:v>420.14005295509367</x:v>
      </x:c>
      <x:c r="D6" s="34" t="n">
        <x:f>100*(SUMPRODUCT(DCF!$G$15:$K$15,1/(1+$A6)^DCF!$G$21:$K$21)+(DCF!$K$15*(1+D$5)/($A6-D$5))/(1+$A6)^5-DCF!$B$34-DCF!$B$35+DCF!$B$36)/DCF!$B$38</x:f>
        <x:v>477.0917430433339</x:v>
      </x:c>
      <x:c r="E6" s="34" t="n">
        <x:f>100*(SUMPRODUCT(DCF!$G$15:$K$15,1/(1+$A6)^DCF!$G$21:$K$21)+(DCF!$K$15*(1+E$5)/($A6-E$5))/(1+$A6)^5-DCF!$B$34-DCF!$B$35+DCF!$B$36)/DCF!$B$38</x:f>
        <x:v>551.2661713589729</x:v>
      </x:c>
      <x:c r="F6" s="34" t="n">
        <x:f>100*(SUMPRODUCT(DCF!$G$15:$K$15,1/(1+$A6)^DCF!$G$21:$K$21)+(DCF!$K$15*(1+F$5)/($A6-F$5))/(1+$A6)^5-DCF!$B$34-DCF!$B$35+DCF!$B$36)/DCF!$B$38</x:f>
        <x:v>651.8675396761079</x:v>
      </x:c>
      <x:c r="G6" s="16"/>
      <x:c r="H6" s="16"/>
      <x:c r="I6" s="16"/>
      <x:c r="J6" s="16"/>
      <x:c r="K6" s="16"/>
    </x:row>
    <x:row r="7">
      <x:c r="A7" s="30" t="n">
        <x:f>Assumptions!$B$44+(-0.01)</x:f>
        <x:v>0.06306773251516852</x:v>
      </x:c>
      <x:c r="B7" s="34" t="n">
        <x:f>100*(SUMPRODUCT(DCF!$G$15:$K$15,1/(1+$A7)^DCF!$G$21:$K$21)+(DCF!$K$15*(1+B$5)/($A7-B$5))/(1+$A7)^5-DCF!$B$34-DCF!$B$35+DCF!$B$36)/DCF!$B$38</x:f>
        <x:v>331.016441376348</x:v>
      </x:c>
      <x:c r="C7" s="34" t="n">
        <x:f>100*(SUMPRODUCT(DCF!$G$15:$K$15,1/(1+$A7)^DCF!$G$21:$K$21)+(DCF!$K$15*(1+C$5)/($A7-C$5))/(1+$A7)^5-DCF!$B$34-DCF!$B$35+DCF!$B$36)/DCF!$B$38</x:f>
        <x:v>366.9368775331302</x:v>
      </x:c>
      <x:c r="D7" s="34" t="n">
        <x:f>100*(SUMPRODUCT(DCF!$G$15:$K$15,1/(1+$A7)^DCF!$G$21:$K$21)+(DCF!$K$15*(1+D$5)/($A7-D$5))/(1+$A7)^5-DCF!$B$34-DCF!$B$35+DCF!$B$36)/DCF!$B$38</x:f>
        <x:v>411.1977658240319</x:v>
      </x:c>
      <x:c r="E7" s="34" t="n">
        <x:f>100*(SUMPRODUCT(DCF!$G$15:$K$15,1/(1+$A7)^DCF!$G$21:$K$21)+(DCF!$K$15*(1+E$5)/($A7-E$5))/(1+$A7)^5-DCF!$B$34-DCF!$B$35+DCF!$B$36)/DCF!$B$38</x:f>
        <x:v>467.0855321469428</x:v>
      </x:c>
      <x:c r="F7" s="34" t="n">
        <x:f>100*(SUMPRODUCT(DCF!$G$15:$K$15,1/(1+$A7)^DCF!$G$21:$K$21)+(DCF!$K$15*(1+F$5)/($A7-F$5))/(1+$A7)^5-DCF!$B$34-DCF!$B$35+DCF!$B$36)/DCF!$B$38</x:f>
        <x:v>539.8742959293179</x:v>
      </x:c>
      <x:c r="G7" s="16"/>
      <x:c r="H7" s="16"/>
      <x:c r="I7" s="16"/>
      <x:c r="J7" s="16"/>
      <x:c r="K7" s="16"/>
    </x:row>
    <x:row r="8">
      <x:c r="A8" s="30" t="n">
        <x:f>Assumptions!$B$44+(-0.005)</x:f>
        <x:v>0.06806773251516851</x:v>
      </x:c>
      <x:c r="B8" s="34" t="n">
        <x:f>100*(SUMPRODUCT(DCF!$G$15:$K$15,1/(1+$A8)^DCF!$G$21:$K$21)+(DCF!$K$15*(1+B$5)/($A8-B$5))/(1+$A8)^5-DCF!$B$34-DCF!$B$35+DCF!$B$36)/DCF!$B$38</x:f>
        <x:v>294.58745612637176</x:v>
      </x:c>
      <x:c r="C8" s="34" t="n">
        <x:f>100*(SUMPRODUCT(DCF!$G$15:$K$15,1/(1+$A8)^DCF!$G$21:$K$21)+(DCF!$K$15*(1+C$5)/($A8-C$5))/(1+$A8)^5-DCF!$B$34-DCF!$B$35+DCF!$B$36)/DCF!$B$38</x:f>
        <x:v>323.7690450289999</x:v>
      </x:c>
      <x:c r="D8" s="34" t="n">
        <x:f>100*(SUMPRODUCT(DCF!$G$15:$K$15,1/(1+$A8)^DCF!$G$21:$K$21)+(DCF!$K$15*(1+D$5)/($A8-D$5))/(1+$A8)^5-DCF!$B$34-DCF!$B$35+DCF!$B$36)/DCF!$B$38</x:f>
        <x:v>359.0215649649197</x:v>
      </x:c>
      <x:c r="E8" s="34" t="n">
        <x:f>100*(SUMPRODUCT(DCF!$G$15:$K$15,1/(1+$A8)^DCF!$G$21:$K$21)+(DCF!$K$15*(1+E$5)/($A8-E$5))/(1+$A8)^5-DCF!$B$34-DCF!$B$35+DCF!$B$36)/DCF!$B$38</x:f>
        <x:v>402.4594519673556</x:v>
      </x:c>
      <x:c r="F8" s="34" t="n">
        <x:f>100*(SUMPRODUCT(DCF!$G$15:$K$15,1/(1+$A8)^DCF!$G$21:$K$21)+(DCF!$K$15*(1+F$5)/($A8-F$5))/(1+$A8)^5-DCF!$B$34-DCF!$B$35+DCF!$B$36)/DCF!$B$38</x:f>
        <x:v>457.30802306691436</x:v>
      </x:c>
      <x:c r="G8" s="16"/>
      <x:c r="H8" s="16"/>
      <x:c r="I8" s="16"/>
      <x:c r="J8" s="16"/>
      <x:c r="K8" s="16"/>
    </x:row>
    <x:row r="9">
      <x:c r="A9" s="30" t="n">
        <x:f>Assumptions!$B$44+(0)</x:f>
        <x:v>0.07306773251516852</x:v>
      </x:c>
      <x:c r="B9" s="34" t="n">
        <x:f>100*(SUMPRODUCT(DCF!$G$15:$K$15,1/(1+$A9)^DCF!$G$21:$K$21)+(DCF!$K$15*(1+B$5)/($A9-B$5))/(1+$A9)^5-DCF!$B$34-DCF!$B$35+DCF!$B$36)/DCF!$B$38</x:f>
        <x:v>263.94393052758755</x:v>
      </x:c>
      <x:c r="C9" s="34" t="n">
        <x:f>100*(SUMPRODUCT(DCF!$G$15:$K$15,1/(1+$A9)^DCF!$G$21:$K$21)+(DCF!$K$15*(1+C$5)/($A9-C$5))/(1+$A9)^5-DCF!$B$34-DCF!$B$35+DCF!$B$36)/DCF!$B$38</x:f>
        <x:v>288.04403280689235</x:v>
      </x:c>
      <x:c r="D9" s="34" t="n">
        <x:f>100*(SUMPRODUCT(DCF!$G$15:$K$15,1/(1+$A9)^DCF!$G$21:$K$21)+(DCF!$K$15*(1+D$5)/($A9-D$5))/(1+$A9)^5-DCF!$B$34-DCF!$B$35+DCF!$B$36)/DCF!$B$38</x:f>
        <x:v>316.6855204322578</x:v>
      </x:c>
      <x:c r="E9" s="34" t="n">
        <x:f>100*(SUMPRODUCT(DCF!$G$15:$K$15,1/(1+$A9)^DCF!$G$21:$K$21)+(DCF!$K$15*(1+E$5)/($A9-E$5))/(1+$A9)^5-DCF!$B$34-DCF!$B$35+DCF!$B$36)/DCF!$B$38</x:f>
        <x:v>351.2855765456057</x:v>
      </x:c>
      <x:c r="F9" s="34" t="n">
        <x:f>100*(SUMPRODUCT(DCF!$G$15:$K$15,1/(1+$A9)^DCF!$G$21:$K$21)+(DCF!$K$15*(1+F$5)/($A9-F$5))/(1+$A9)^5-DCF!$B$34-DCF!$B$35+DCF!$B$36)/DCF!$B$38</x:f>
        <x:v>393.91950258724887</x:v>
      </x:c>
      <x:c r="G9" s="16"/>
      <x:c r="H9" s="16"/>
      <x:c r="I9" s="16"/>
      <x:c r="J9" s="16"/>
      <x:c r="K9" s="16"/>
    </x:row>
    <x:row r="10">
      <x:c r="A10" s="30" t="n">
        <x:f>Assumptions!$B$44+(0.005)</x:f>
        <x:v>0.07806773251516852</x:v>
      </x:c>
      <x:c r="B10" s="34" t="n">
        <x:f>100*(SUMPRODUCT(DCF!$G$15:$K$15,1/(1+$A10)^DCF!$G$21:$K$21)+(DCF!$K$15*(1+B$5)/($A10-B$5))/(1+$A10)^5-DCF!$B$34-DCF!$B$35+DCF!$B$36)/DCF!$B$38</x:f>
        <x:v>237.81073488926236</x:v>
      </x:c>
      <x:c r="C10" s="34" t="n">
        <x:f>100*(SUMPRODUCT(DCF!$G$15:$K$15,1/(1+$A10)^DCF!$G$21:$K$21)+(DCF!$K$15*(1+C$5)/($A10-C$5))/(1+$A10)^5-DCF!$B$34-DCF!$B$35+DCF!$B$36)/DCF!$B$38</x:f>
        <x:v>257.9914626049033</x:v>
      </x:c>
      <x:c r="D10" s="34" t="n">
        <x:f>100*(SUMPRODUCT(DCF!$G$15:$K$15,1/(1+$A10)^DCF!$G$21:$K$21)+(DCF!$K$15*(1+D$5)/($A10-D$5))/(1+$A10)^5-DCF!$B$34-DCF!$B$35+DCF!$B$36)/DCF!$B$38</x:f>
        <x:v>281.64756758111986</x:v>
      </x:c>
      <x:c r="E10" s="34" t="n">
        <x:f>100*(SUMPRODUCT(DCF!$G$15:$K$15,1/(1+$A10)^DCF!$G$21:$K$21)+(DCF!$K$15*(1+E$5)/($A10-E$5))/(1+$A10)^5-DCF!$B$34-DCF!$B$35+DCF!$B$36)/DCF!$B$38</x:f>
        <x:v>309.7613917503422</x:v>
      </x:c>
      <x:c r="F10" s="34" t="n">
        <x:f>100*(SUMPRODUCT(DCF!$G$15:$K$15,1/(1+$A10)^DCF!$G$21:$K$21)+(DCF!$K$15*(1+F$5)/($A10-F$5))/(1+$A10)^5-DCF!$B$34-DCF!$B$35+DCF!$B$36)/DCF!$B$38</x:f>
        <x:v>343.7240094236791</x:v>
      </x:c>
      <x:c r="G10" s="16"/>
      <x:c r="H10" s="16"/>
      <x:c r="I10" s="16"/>
      <x:c r="J10" s="16"/>
      <x:c r="K10" s="16"/>
    </x:row>
    <x:row r="11">
      <x:c r="A11" s="30" t="n">
        <x:f>Assumptions!$B$44+(0.01)</x:f>
        <x:v>0.08306773251516851</x:v>
      </x:c>
      <x:c r="B11" s="34" t="n">
        <x:f>100*(SUMPRODUCT(DCF!$G$15:$K$15,1/(1+$A11)^DCF!$G$21:$K$21)+(DCF!$K$15*(1+B$5)/($A11-B$5))/(1+$A11)^5-DCF!$B$34-DCF!$B$35+DCF!$B$36)/DCF!$B$38</x:f>
        <x:v>215.261771374321</x:v>
      </x:c>
      <x:c r="C11" s="34" t="n">
        <x:f>100*(SUMPRODUCT(DCF!$G$15:$K$15,1/(1+$A11)^DCF!$G$21:$K$21)+(DCF!$K$15*(1+C$5)/($A11-C$5))/(1+$A11)^5-DCF!$B$34-DCF!$B$35+DCF!$B$36)/DCF!$B$38</x:f>
        <x:v>232.3611421851325</x:v>
      </x:c>
      <x:c r="D11" s="34" t="n">
        <x:f>100*(SUMPRODUCT(DCF!$G$15:$K$15,1/(1+$A11)^DCF!$G$21:$K$21)+(DCF!$K$15*(1+D$5)/($A11-D$5))/(1+$A11)^5-DCF!$B$34-DCF!$B$35+DCF!$B$36)/DCF!$B$38</x:f>
        <x:v>252.17178389928583</x:v>
      </x:c>
      <x:c r="E11" s="34" t="n">
        <x:f>100*(SUMPRODUCT(DCF!$G$15:$K$15,1/(1+$A11)^DCF!$G$21:$K$21)+(DCF!$K$15*(1+E$5)/($A11-E$5))/(1+$A11)^5-DCF!$B$34-DCF!$B$35+DCF!$B$36)/DCF!$B$38</x:f>
        <x:v>275.39406937083544</x:v>
      </x:c>
      <x:c r="F11" s="34" t="n">
        <x:f>100*(SUMPRODUCT(DCF!$G$15:$K$15,1/(1+$A11)^DCF!$G$21:$K$21)+(DCF!$K$15*(1+F$5)/($A11-F$5))/(1+$A11)^5-DCF!$B$34-DCF!$B$35+DCF!$B$36)/DCF!$B$38</x:f>
        <x:v>302.99232577065334</x:v>
      </x:c>
      <x:c r="G11" s="16"/>
      <x:c r="H11" s="16"/>
      <x:c r="I11" s="16"/>
      <x:c r="J11" s="16"/>
      <x:c r="K11" s="16"/>
    </x:row>
    <x:row r="12">
      <x:c r="A12" s="30" t="n">
        <x:f>Assumptions!$B$44+(0.015)</x:f>
        <x:v>0.08806773251516851</x:v>
      </x:c>
      <x:c r="B12" s="34" t="n">
        <x:f>100*(SUMPRODUCT(DCF!$G$15:$K$15,1/(1+$A12)^DCF!$G$21:$K$21)+(DCF!$K$15*(1+B$5)/($A12-B$5))/(1+$A12)^5-DCF!$B$34-DCF!$B$35+DCF!$B$36)/DCF!$B$38</x:f>
        <x:v>195.60820171703523</x:v>
      </x:c>
      <x:c r="C12" s="34" t="n">
        <x:f>100*(SUMPRODUCT(DCF!$G$15:$K$15,1/(1+$A12)^DCF!$G$21:$K$21)+(DCF!$K$15*(1+C$5)/($A12-C$5))/(1+$A12)^5-DCF!$B$34-DCF!$B$35+DCF!$B$36)/DCF!$B$38</x:f>
        <x:v>210.2450844303979</x:v>
      </x:c>
      <x:c r="D12" s="34" t="n">
        <x:f>100*(SUMPRODUCT(DCF!$G$15:$K$15,1/(1+$A12)^DCF!$G$21:$K$21)+(DCF!$K$15*(1+D$5)/($A12-D$5))/(1+$A12)^5-DCF!$B$34-DCF!$B$35+DCF!$B$36)/DCF!$B$38</x:f>
        <x:v>227.0323080134379</x:v>
      </x:c>
      <x:c r="E12" s="34" t="n">
        <x:f>100*(SUMPRODUCT(DCF!$G$15:$K$15,1/(1+$A12)^DCF!$G$21:$K$21)+(DCF!$K$15*(1+E$5)/($A12-E$5))/(1+$A12)^5-DCF!$B$34-DCF!$B$35+DCF!$B$36)/DCF!$B$38</x:f>
        <x:v>246.48130853272684</x:v>
      </x:c>
      <x:c r="F12" s="34" t="n">
        <x:f>100*(SUMPRODUCT(DCF!$G$15:$K$15,1/(1+$A12)^DCF!$G$21:$K$21)+(DCF!$K$15*(1+F$5)/($A12-F$5))/(1+$A12)^5-DCF!$B$34-DCF!$B$35+DCF!$B$36)/DCF!$B$38</x:f>
        <x:v>269.27967360903705</x:v>
      </x:c>
      <x:c r="G12" s="16"/>
      <x:c r="H12" s="16"/>
      <x:c r="I12" s="16"/>
      <x:c r="J12" s="16"/>
      <x:c r="K12" s="16"/>
    </x:row>
    <x:row r="13"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 ht="23" customHeight="1">
      <x:c r="A16" s="11" t="str">
        <x:v>OPERATING SCENARIO SUMMARY | LIVE FCFF REBUILD</x:v>
      </x:c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</x:row>
    <x:row r="17">
      <x:c r="B17" s="16" t="str">
        <x:v>Downside</x:v>
      </x:c>
      <x:c r="C17" s="16" t="str">
        <x:v>Base</x:v>
      </x:c>
      <x:c r="D17" s="16" t="str">
        <x:v>Upside</x:v>
      </x:c>
      <x:c r="E17" s="16"/>
      <x:c r="F17" s="16"/>
      <x:c r="G17" s="16"/>
      <x:c r="H17" s="16"/>
      <x:c r="I17" s="16"/>
      <x:c r="J17" s="16"/>
      <x:c r="K17" s="16"/>
    </x:row>
    <x:row r="18">
      <x:c r="A18" t="str">
        <x:v>FY2026 FCFF</x:v>
      </x:c>
      <x:c r="B18" s="16" t="n">
        <x:f>DCF!G$7*(1+B$42)^1*(((DCF!G$8/DCF!G$7)+B$38)*(1-Assumptions!$B$10)+(DCF!G$11+DCF!G$12)/DCF!G$7-DCF!G$13/DCF!G$7-DCF!G$14/DCF!G$7-B$39-B$40)</x:f>
        <x:v>57.524165257832856</x:v>
      </x:c>
      <x:c r="C18" s="16" t="n">
        <x:f>DCF!G$7*(1+C$42)^1*(((DCF!G$8/DCF!G$7)+C$38)*(1-Assumptions!$B$10)+(DCF!G$11+DCF!G$12)/DCF!G$7-DCF!G$13/DCF!G$7-DCF!G$14/DCF!G$7-C$39-C$40)</x:f>
        <x:v>70.61881394009379</x:v>
      </x:c>
      <x:c r="D18" s="16" t="n">
        <x:f>DCF!G$7*(1+D$42)^1*(((DCF!G$8/DCF!G$7)+D$38)*(1-Assumptions!$B$10)+(DCF!G$11+DCF!G$12)/DCF!G$7-DCF!G$13/DCF!G$7-DCF!G$14/DCF!G$7-D$39-D$40)</x:f>
        <x:v>78.31664131988809</x:v>
      </x:c>
      <x:c r="E18" s="16"/>
      <x:c r="F18" s="16"/>
      <x:c r="G18" s="16"/>
      <x:c r="H18" s="16"/>
      <x:c r="I18" s="16"/>
      <x:c r="J18" s="16"/>
      <x:c r="K18" s="16"/>
    </x:row>
    <x:row r="19">
      <x:c r="A19" t="str">
        <x:v>FY2027 FCFF</x:v>
      </x:c>
      <x:c r="B19" s="16" t="n">
        <x:f>DCF!H$7*(1+B$42)^2*(((DCF!H$8/DCF!H$7)+B$38)*(1-Assumptions!$B$10)+(DCF!H$11+DCF!H$12)/DCF!H$7-DCF!H$13/DCF!H$7-DCF!H$14/DCF!H$7-B$39-B$40)</x:f>
        <x:v>62.61264465513247</x:v>
      </x:c>
      <x:c r="C19" s="16" t="n">
        <x:f>DCF!H$7*(1+C$42)^2*(((DCF!H$8/DCF!H$7)+C$38)*(1-Assumptions!$B$10)+(DCF!H$11+DCF!H$12)/DCF!H$7-DCF!H$13/DCF!H$7-DCF!H$14/DCF!H$7-C$39-C$40)</x:f>
        <x:v>76.85471138081557</x:v>
      </x:c>
      <x:c r="D19" s="16" t="n">
        <x:f>DCF!H$7*(1+D$42)^2*(((DCF!H$8/DCF!H$7)+D$38)*(1-Assumptions!$B$10)+(DCF!H$11+DCF!H$12)/DCF!H$7-DCF!H$13/DCF!H$7-DCF!H$14/DCF!H$7-D$39-D$40)</x:f>
        <x:v>85.71903820033778</x:v>
      </x:c>
      <x:c r="E19" s="16"/>
      <x:c r="F19" s="16"/>
      <x:c r="G19" s="16"/>
      <x:c r="H19" s="16"/>
      <x:c r="I19" s="16"/>
      <x:c r="J19" s="16"/>
      <x:c r="K19" s="16"/>
    </x:row>
    <x:row r="20">
      <x:c r="A20" t="str">
        <x:v>FY2028 FCFF</x:v>
      </x:c>
      <x:c r="B20" s="16" t="n">
        <x:f>DCF!I$7*(1+B$42)^3*(((DCF!I$8/DCF!I$7)+B$38)*(1-Assumptions!$B$10)+(DCF!I$11+DCF!I$12)/DCF!I$7-DCF!I$13/DCF!I$7-DCF!I$14/DCF!I$7-B$39-B$40)</x:f>
        <x:v>65.99567240043442</x:v>
      </x:c>
      <x:c r="C20" s="16" t="n">
        <x:f>DCF!I$7*(1+C$42)^3*(((DCF!I$8/DCF!I$7)+C$38)*(1-Assumptions!$B$10)+(DCF!I$11+DCF!I$12)/DCF!I$7-DCF!I$13/DCF!I$7-DCF!I$14/DCF!I$7-C$39-C$40)</x:f>
        <x:v>81.45466614255666</x:v>
      </x:c>
      <x:c r="D20" s="16" t="n">
        <x:f>DCF!I$7*(1+D$42)^3*(((DCF!I$8/DCF!I$7)+D$38)*(1-Assumptions!$B$10)+(DCF!I$11+DCF!I$12)/DCF!I$7-DCF!I$13/DCF!I$7-DCF!I$14/DCF!I$7-D$39-D$40)</x:f>
        <x:v>91.58235037973591</x:v>
      </x:c>
      <x:c r="E20" s="16"/>
      <x:c r="F20" s="16"/>
      <x:c r="G20" s="16"/>
      <x:c r="H20" s="16"/>
      <x:c r="I20" s="16"/>
      <x:c r="J20" s="16"/>
      <x:c r="K20" s="16"/>
    </x:row>
    <x:row r="21">
      <x:c r="A21" t="str">
        <x:v>FY2029 FCFF</x:v>
      </x:c>
      <x:c r="B21" s="16" t="n">
        <x:f>DCF!J$7*(1+B$42)^4*(((DCF!J$8/DCF!J$7)+B$38)*(1-Assumptions!$B$10)+(DCF!J$11+DCF!J$12)/DCF!J$7-DCF!J$13/DCF!J$7-DCF!J$14/DCF!J$7-B$39-B$40)</x:f>
        <x:v>69.48341879719871</x:v>
      </x:c>
      <x:c r="C21" s="16" t="n">
        <x:f>DCF!J$7*(1+C$42)^4*(((DCF!J$8/DCF!J$7)+C$38)*(1-Assumptions!$B$10)+(DCF!J$11+DCF!J$12)/DCF!J$7-DCF!J$13/DCF!J$7-DCF!J$14/DCF!J$7-C$39-C$40)</x:f>
        <x:v>86.25171323859563</x:v>
      </x:c>
      <x:c r="D21" s="16" t="n">
        <x:f>DCF!J$7*(1+D$42)^4*(((DCF!J$8/DCF!J$7)+D$38)*(1-Assumptions!$B$10)+(DCF!J$11+DCF!J$12)/DCF!J$7-DCF!J$13/DCF!J$7-DCF!J$14/DCF!J$7-D$39-D$40)</x:f>
        <x:v>97.7658555208931</x:v>
      </x:c>
      <x:c r="E21" s="16"/>
      <x:c r="F21" s="16"/>
      <x:c r="G21" s="16"/>
      <x:c r="H21" s="16"/>
      <x:c r="I21" s="16"/>
      <x:c r="J21" s="16"/>
      <x:c r="K21" s="16"/>
    </x:row>
    <x:row r="22">
      <x:c r="A22" t="str">
        <x:v>FY2030 FCFF</x:v>
      </x:c>
      <x:c r="B22" s="16" t="n">
        <x:f>DCF!K$7*(1+B$42)^5*(((DCF!K$8/DCF!K$7)+B$38)*(1-Assumptions!$B$10)+(DCF!K$11+DCF!K$12)/DCF!K$7-DCF!K$13/DCF!K$7-DCF!K$14/DCF!K$7-B$39-B$40)</x:f>
        <x:v>71.13356592373417</x:v>
      </x:c>
      <x:c r="C22" s="16" t="n">
        <x:f>DCF!K$7*(1+C$42)^5*(((DCF!K$8/DCF!K$7)+C$38)*(1-Assumptions!$B$10)+(DCF!K$11+DCF!K$12)/DCF!K$7-DCF!K$13/DCF!K$7-DCF!K$14/DCF!K$7-C$39-C$40)</x:f>
        <x:v>89.20810092356102</x:v>
      </x:c>
      <x:c r="D22" s="16" t="n">
        <x:f>DCF!K$7*(1+D$42)^5*(((DCF!K$8/DCF!K$7)+D$38)*(1-Assumptions!$B$10)+(DCF!K$11+DCF!K$12)/DCF!K$7-DCF!K$13/DCF!K$7-DCF!K$14/DCF!K$7-D$39-D$40)</x:f>
        <x:v>102.13592136868797</x:v>
      </x:c>
      <x:c r="E22" s="16"/>
      <x:c r="F22" s="16"/>
      <x:c r="G22" s="16"/>
      <x:c r="H22" s="16"/>
      <x:c r="I22" s="16"/>
      <x:c r="J22" s="16"/>
      <x:c r="K22" s="16"/>
    </x:row>
    <x:row r="23"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t="str">
        <x:v>PV forecast FCFF</x:v>
      </x:c>
      <x:c r="B24" s="16" t="n">
        <x:f>B18*DCF!G22+B19*DCF!H22+B20*DCF!I22+B21*DCF!J22+B22*DCF!K22</x:f>
        <x:v>263.7960927454185</x:v>
      </x:c>
      <x:c r="C24" s="16" t="n">
        <x:f>C18*DCF!G22+C19*DCF!H22+C20*DCF!I22+C21*DCF!J22+C22*DCF!K22</x:f>
        <x:v>326.22939588147506</x:v>
      </x:c>
      <x:c r="D24" s="16" t="n">
        <x:f>D18*DCF!G22+D19*DCF!H22+D20*DCF!I22+D21*DCF!J22+D22*DCF!K22</x:f>
        <x:v>367.0682246004519</x:v>
      </x:c>
      <x:c r="E24" s="16"/>
      <x:c r="F24" s="16"/>
      <x:c r="G24" s="16"/>
      <x:c r="H24" s="16"/>
      <x:c r="I24" s="16"/>
      <x:c r="J24" s="16"/>
      <x:c r="K24" s="16"/>
    </x:row>
    <x:row r="25">
      <x:c r="A25" t="str">
        <x:v>Terminal FCFF</x:v>
      </x:c>
      <x:c r="B25" s="16" t="n">
        <x:f>B22*(1+DCF!$B$26)</x:f>
        <x:v>72.55623724220885</x:v>
      </x:c>
      <x:c r="C25" s="16" t="n">
        <x:f>C22*(1+DCF!$B$26)</x:f>
        <x:v>90.99226294203224</x:v>
      </x:c>
      <x:c r="D25" s="16" t="n">
        <x:f>D22*(1+DCF!$B$26)</x:f>
        <x:v>104.17863979606173</x:v>
      </x:c>
      <x:c r="E25" s="16"/>
      <x:c r="F25" s="16"/>
      <x:c r="G25" s="16"/>
      <x:c r="H25" s="16"/>
      <x:c r="I25" s="16"/>
      <x:c r="J25" s="16"/>
      <x:c r="K25" s="16"/>
    </x:row>
    <x:row r="26">
      <x:c r="A26" t="str">
        <x:v>PV terminal value</x:v>
      </x:c>
      <x:c r="B26" s="16" t="n">
        <x:f>B25/(DCF!$B$25-DCF!$B$26)*DCF!$K$22</x:f>
        <x:v>960.967150907788</x:v>
      </x:c>
      <x:c r="C26" s="16" t="n">
        <x:f>C25/(DCF!$B$25-DCF!$B$26)*DCF!$K$22</x:f>
        <x:v>1205.1420938789995</x:v>
      </x:c>
      <x:c r="D26" s="16" t="n">
        <x:f>D25/(DCF!$B$25-DCF!$B$26)*DCF!$K$22</x:f>
        <x:v>1379.788347293606</x:v>
      </x:c>
      <x:c r="E26" s="16"/>
      <x:c r="F26" s="16"/>
      <x:c r="G26" s="16"/>
      <x:c r="H26" s="16"/>
      <x:c r="I26" s="16"/>
      <x:c r="J26" s="16"/>
      <x:c r="K26" s="16"/>
    </x:row>
    <x:row r="27">
      <x:c r="A27" t="str">
        <x:v>Enterprise value</x:v>
      </x:c>
      <x:c r="B27" s="16" t="n">
        <x:f>SUM(B24,B26)</x:f>
        <x:v>1224.7632436532065</x:v>
      </x:c>
      <x:c r="C27" s="16" t="n">
        <x:f>SUM(C24,C26)</x:f>
        <x:v>1531.3714897604746</x:v>
      </x:c>
      <x:c r="D27" s="16" t="n">
        <x:f>SUM(D24,D26)</x:f>
        <x:v>1746.8565718940579</x:v>
      </x:c>
      <x:c r="E27" s="16"/>
      <x:c r="F27" s="16"/>
      <x:c r="G27" s="16"/>
      <x:c r="H27" s="16"/>
      <x:c r="I27" s="16"/>
      <x:c r="J27" s="16"/>
      <x:c r="K27" s="16"/>
    </x:row>
    <x:row r="28">
      <x:c r="A28" t="str">
        <x:v>Equity value</x:v>
      </x:c>
      <x:c r="B28" s="16" t="n">
        <x:f>B27-DCF!$B$34-DCF!$B$35+DCF!$B$36</x:f>
        <x:v>900.4632436532065</x:v>
      </x:c>
      <x:c r="C28" s="16" t="n">
        <x:f>C27-DCF!$B$34-DCF!$B$35+DCF!$B$36</x:f>
        <x:v>1207.0714897604746</x:v>
      </x:c>
      <x:c r="D28" s="16" t="n">
        <x:f>D27-DCF!$B$34-DCF!$B$35+DCF!$B$36</x:f>
        <x:v>1422.556571894058</x:v>
      </x:c>
      <x:c r="E28" s="16"/>
      <x:c r="F28" s="16"/>
      <x:c r="G28" s="16"/>
      <x:c r="H28" s="16"/>
      <x:c r="I28" s="16"/>
      <x:c r="J28" s="16"/>
      <x:c r="K28" s="16"/>
    </x:row>
    <x:row r="29">
      <x:c r="A29" t="str">
        <x:v>Implied share price (p)</x:v>
      </x:c>
      <x:c r="B29" s="16" t="n">
        <x:f>100*B28/DCF!$B$38</x:f>
        <x:v>236.24422692894612</x:v>
      </x:c>
      <x:c r="C29" s="41" t="n">
        <x:f>100*C28/DCF!$B$38</x:f>
        <x:v>316.6855204322578</x:v>
      </x:c>
      <x:c r="D29" s="16" t="n">
        <x:f>100*D28/DCF!$B$38</x:f>
        <x:v>373.21987316923037</x:v>
      </x:c>
      <x:c r="E29" s="16"/>
      <x:c r="F29" s="16"/>
      <x:c r="G29" s="16"/>
      <x:c r="H29" s="16"/>
      <x:c r="I29" s="16"/>
      <x:c r="J29" s="16"/>
      <x:c r="K29" s="16"/>
    </x:row>
    <x:row r="30">
      <x:c r="A30" t="str">
        <x:v>Premium to reference</x:v>
      </x:c>
      <x:c r="B30" s="16" t="n">
        <x:f>B29/DCF!$B$40-1</x:f>
        <x:v>0.3751119146038773</x:v>
      </x:c>
      <x:c r="C30" s="16" t="n">
        <x:f>C29/DCF!$B$40-1</x:f>
        <x:v>0.8433383028652957</x:v>
      </x:c>
      <x:c r="D30" s="16" t="n">
        <x:f>D29/DCF!$B$40-1</x:f>
        <x:v>1.1724090405659506</x:v>
      </x:c>
      <x:c r="E30" s="16"/>
      <x:c r="F30" s="16"/>
      <x:c r="G30" s="16"/>
      <x:c r="H30" s="16"/>
      <x:c r="I30" s="16"/>
      <x:c r="J30" s="16"/>
      <x:c r="K30" s="16"/>
    </x:row>
    <x:row r="31"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t="str">
        <x:v>Base case DCF tie-out (p)</x:v>
      </x:c>
      <x:c r="B32" s="41" t="n">
        <x:f>C29-DCF!B39</x:f>
        <x:v>0</x:v>
      </x:c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t="str">
        <x:v>All three cases now recalculate after changes to FCFF, WACC and terminal growth. Scenario shocks are illustrative, not independently validated forecasts.</x:v>
      </x:c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4" t="str">
        <x:v>Operating scenario inputs are maintained on Assumptions (columns N:P); outputs are calculated, not manually entered.</x:v>
      </x:c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</x:row>
    <x:row r="36">
      <x:c r="A36" s="14" t="str">
        <x:v>WACC / growth grid holds base FCFF constant. Operating scenarios incorporate compounded sales growth and margins / reinvestment shocks.</x:v>
      </x:c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</x:row>
    <x:row r="37" ht="25" customHeight="1">
      <x:c r="A37" s="51" t="str">
        <x:v>OPERATING SCENARIO INPUTS | LINKED TO ASSUMPTIONS</x:v>
      </x:c>
      <x:c r="B37" s="52" t="str">
        <x:v>Downside</x:v>
      </x:c>
      <x:c r="C37" s="52" t="str">
        <x:v>Base</x:v>
      </x:c>
      <x:c r="D37" s="52" t="str">
        <x:v>Upside</x:v>
      </x:c>
      <x:c r="E37" s="52"/>
      <x:c r="F37" s="52"/>
      <x:c r="G37" s="52"/>
      <x:c r="H37" s="18"/>
      <x:c r="I37" s="18"/>
      <x:c r="J37" s="18"/>
      <x:c r="K37" s="18"/>
    </x:row>
    <x:row r="38">
      <x:c r="A38" s="14" t="str">
        <x:v>EBIT margin change (percentage points)</x:v>
      </x:c>
      <x:c r="B38" s="53" t="n">
        <x:f>Assumptions!N17</x:f>
        <x:v>-0.0075</x:v>
      </x:c>
      <x:c r="C38" s="53" t="n">
        <x:f>Assumptions!O17</x:f>
        <x:v>0</x:v>
      </x:c>
      <x:c r="D38" s="53" t="n">
        <x:f>Assumptions!P17</x:f>
        <x:v>0.005</x:v>
      </x:c>
      <x:c r="E38" s="18"/>
      <x:c r="F38" s="18"/>
      <x:c r="G38" s="18"/>
      <x:c r="H38" s="18"/>
      <x:c r="I38" s="18"/>
      <x:c r="J38" s="18"/>
      <x:c r="K38" s="18"/>
    </x:row>
    <x:row r="39">
      <x:c r="A39" s="14" t="str">
        <x:v>CapEx / revenue change (percentage points)</x:v>
      </x:c>
      <x:c r="B39" s="53" t="n">
        <x:f>Assumptions!N18</x:f>
        <x:v>0.01</x:v>
      </x:c>
      <x:c r="C39" s="53" t="n">
        <x:f>Assumptions!O18</x:f>
        <x:v>0</x:v>
      </x:c>
      <x:c r="D39" s="53" t="n">
        <x:f>Assumptions!P18</x:f>
        <x:v>-0.005</x:v>
      </x:c>
      <x:c r="E39" s="18"/>
      <x:c r="F39" s="18"/>
      <x:c r="G39" s="18"/>
      <x:c r="H39" s="18"/>
      <x:c r="I39" s="18"/>
      <x:c r="J39" s="18"/>
      <x:c r="K39" s="18"/>
    </x:row>
    <x:row r="40">
      <x:c r="A40" s="14" t="str">
        <x:v>Additional annual NWC investment / revenue</x:v>
      </x:c>
      <x:c r="B40" s="53" t="n">
        <x:f>Assumptions!N19</x:f>
        <x:v>0.002</x:v>
      </x:c>
      <x:c r="C40" s="53" t="n">
        <x:f>Assumptions!O19</x:f>
        <x:v>0</x:v>
      </x:c>
      <x:c r="D40" s="53" t="n">
        <x:f>Assumptions!P19</x:f>
        <x:v>-0.001</x:v>
      </x:c>
      <x:c r="E40" s="18"/>
      <x:c r="F40" s="18"/>
      <x:c r="G40" s="18"/>
      <x:c r="H40" s="18"/>
      <x:c r="I40" s="18"/>
      <x:c r="J40" s="18"/>
      <x:c r="K40" s="18"/>
    </x:row>
    <x:row r="41">
      <x:c r="A41" s="14" t="str">
        <x:v>Scenario method</x:v>
      </x:c>
      <x:c r="B41" s="18" t="str">
        <x:v>Operating stress: weaker margin, higher reinvestment and NWC use</x:v>
      </x:c>
      <x:c r="C41" s="18" t="str">
        <x:v>Selected forecast, no shocks</x:v>
      </x:c>
      <x:c r="D41" s="18" t="str">
        <x:v>Operating improvement and lower reinvestment</x:v>
      </x:c>
      <x:c r="E41" s="18"/>
      <x:c r="F41" s="18"/>
      <x:c r="G41" s="18"/>
      <x:c r="H41" s="18"/>
      <x:c r="I41" s="18"/>
      <x:c r="J41" s="18"/>
      <x:c r="K41" s="18"/>
    </x:row>
    <x:row r="42">
      <x:c r="A42" s="14" t="str">
        <x:v>Annual system-sales growth change (pp)</x:v>
      </x:c>
      <x:c r="B42" s="18" t="n">
        <x:f>Assumptions!N16</x:f>
        <x:v>-0.01</x:v>
      </x:c>
      <x:c r="C42" s="18" t="n">
        <x:f>Assumptions!O16</x:f>
        <x:v>0</x:v>
      </x:c>
      <x:c r="D42" s="18" t="n">
        <x:f>Assumptions!P16</x:f>
        <x:v>0.01</x:v>
      </x:c>
      <x:c r="E42" s="18"/>
      <x:c r="F42" s="18"/>
      <x:c r="G42" s="18"/>
      <x:c r="H42" s="18"/>
      <x:c r="I42" s="18"/>
      <x:c r="J42" s="18"/>
      <x:c r="K42" s="18"/>
    </x:row>
    <x:row r="43">
      <x:c r="A43" s="14" t="str">
        <x:v>Scenario results above are linked to FY2026–FY2030 DCF cash flows, discount rates and equity bridge.</x:v>
      </x:c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</x:row>
    <x:row r="44" ht="25" customHeight="1">
      <x:c r="A44" s="51" t="str">
        <x:v>REVERSE DCF | IMPLIED SUSTAINABLE TERMINAL CASH GENERATION</x:v>
      </x:c>
      <x:c r="B44" s="52"/>
      <x:c r="C44" s="52"/>
      <x:c r="D44" s="52"/>
      <x:c r="E44" s="52"/>
      <x:c r="F44" s="52"/>
      <x:c r="G44" s="52"/>
      <x:c r="H44" s="18"/>
      <x:c r="I44" s="18"/>
      <x:c r="J44" s="18"/>
      <x:c r="K44" s="18"/>
    </x:row>
    <x:row r="45">
      <x:c r="A45" s="14" t="str">
        <x:v>Market-price-implied equity value (£m)</x:v>
      </x:c>
      <x:c r="B45" s="18" t="n">
        <x:f>Assumptions!B7/100*DCF!B38</x:f>
        <x:v>654.8290608860001</x:v>
      </x:c>
      <x:c r="C45" s="18"/>
      <x:c r="D45" s="18"/>
      <x:c r="E45" s="18"/>
      <x:c r="F45" s="18"/>
      <x:c r="G45" s="18"/>
      <x:c r="H45" s="18"/>
      <x:c r="I45" s="18"/>
      <x:c r="J45" s="18"/>
      <x:c r="K45" s="18"/>
    </x:row>
    <x:row r="46">
      <x:c r="A46" s="14" t="str">
        <x:v>Required enterprise value (£m)</x:v>
      </x:c>
      <x:c r="B46" s="18" t="n">
        <x:f>B45+DCF!B34+DCF!B35-DCF!B36</x:f>
        <x:v>979.129060886</x:v>
      </x:c>
      <x:c r="C46" s="18"/>
      <x:c r="D46" s="18"/>
      <x:c r="E46" s="18"/>
      <x:c r="F46" s="18"/>
      <x:c r="G46" s="18"/>
      <x:c r="H46" s="18"/>
      <x:c r="I46" s="18"/>
      <x:c r="J46" s="18"/>
      <x:c r="K46" s="18"/>
    </x:row>
    <x:row r="47">
      <x:c r="A47" s="14" t="str">
        <x:v>Less PV of explicit FCFF (£m)</x:v>
      </x:c>
      <x:c r="B47" s="18" t="n">
        <x:f>DCF!B30</x:f>
        <x:v>326.22939588147506</x:v>
      </x:c>
      <x:c r="C47" s="18"/>
      <x:c r="D47" s="18"/>
      <x:c r="E47" s="18"/>
      <x:c r="F47" s="18"/>
      <x:c r="G47" s="18"/>
      <x:c r="H47" s="18"/>
      <x:c r="I47" s="18"/>
      <x:c r="J47" s="18"/>
      <x:c r="K47" s="18"/>
    </x:row>
    <x:row r="48">
      <x:c r="A48" s="14" t="str">
        <x:v>Required terminal PV (£m)</x:v>
      </x:c>
      <x:c r="B48" s="18" t="n">
        <x:f>B46-B47</x:f>
        <x:v>652.899665004525</x:v>
      </x:c>
      <x:c r="C48" s="18"/>
      <x:c r="D48" s="18"/>
      <x:c r="E48" s="18"/>
      <x:c r="F48" s="18"/>
      <x:c r="G48" s="18"/>
      <x:c r="H48" s="18"/>
      <x:c r="I48" s="18"/>
      <x:c r="J48" s="18"/>
      <x:c r="K48" s="18"/>
    </x:row>
    <x:row r="49">
      <x:c r="A49" s="14" t="str">
        <x:v>Required FY2031 terminal FCFF (£m)</x:v>
      </x:c>
      <x:c r="B49" s="18" t="n">
        <x:f>B48*(DCF!B25-DCF!B26)/DCF!K22</x:f>
        <x:v>49.29611063674402</x:v>
      </x:c>
      <x:c r="C49" s="18"/>
      <x:c r="D49" s="18"/>
      <x:c r="E49" s="18"/>
      <x:c r="F49" s="18"/>
      <x:c r="G49" s="18"/>
      <x:c r="H49" s="18"/>
      <x:c r="I49" s="18"/>
      <x:c r="J49" s="18"/>
      <x:c r="K49" s="18"/>
    </x:row>
    <x:row r="50">
      <x:c r="A50" s="14" t="str">
        <x:v>Implied FY2030 sustainable FCFF (£m)</x:v>
      </x:c>
      <x:c r="B50" s="18" t="n">
        <x:f>B49/(1+DCF!B26)</x:f>
        <x:v>48.32952023210198</x:v>
      </x:c>
      <x:c r="C50" s="18"/>
      <x:c r="D50" s="18"/>
      <x:c r="E50" s="18"/>
      <x:c r="F50" s="18"/>
      <x:c r="G50" s="18"/>
      <x:c r="H50" s="18"/>
      <x:c r="I50" s="18"/>
      <x:c r="J50" s="18"/>
      <x:c r="K50" s="18"/>
    </x:row>
    <x:row r="51">
      <x:c r="A51" s="14" t="str">
        <x:v>Forecast FY2030 FCFF (£m)</x:v>
      </x:c>
      <x:c r="B51" s="18" t="n">
        <x:f>DCF!K15</x:f>
        <x:v>89.20810092356102</x:v>
      </x:c>
      <x:c r="C51" s="18"/>
      <x:c r="D51" s="18"/>
      <x:c r="E51" s="18"/>
      <x:c r="F51" s="18"/>
      <x:c r="G51" s="18"/>
      <x:c r="H51" s="18"/>
      <x:c r="I51" s="18"/>
      <x:c r="J51" s="18"/>
      <x:c r="K51" s="18"/>
    </x:row>
    <x:row r="52">
      <x:c r="A52" s="14" t="str">
        <x:v>Terminal FCFF shortfall vs forecast (%)</x:v>
      </x:c>
      <x:c r="B52" s="54" t="n">
        <x:f>1-B50/B51</x:f>
        <x:v>0.4582384365124679</x:v>
      </x:c>
      <x:c r="C52" s="18"/>
      <x:c r="D52" s="18"/>
      <x:c r="E52" s="18"/>
      <x:c r="F52" s="18"/>
      <x:c r="G52" s="18"/>
      <x:c r="H52" s="18"/>
      <x:c r="I52" s="18"/>
      <x:c r="J52" s="18"/>
      <x:c r="K52" s="18"/>
    </x:row>
    <x:row r="53">
      <x:c r="A53" s="14" t="str">
        <x:v>Market-implied EV / FY2030 FCFF (x)</x:v>
      </x:c>
      <x:c r="B53" s="18" t="n">
        <x:f>B46/B51</x:f>
        <x:v>10.975786399992732</x:v>
      </x:c>
      <x:c r="C53" s="18"/>
      <x:c r="D53" s="18"/>
      <x:c r="E53" s="18"/>
      <x:c r="F53" s="18"/>
      <x:c r="G53" s="18"/>
      <x:c r="H53" s="18"/>
      <x:c r="I53" s="18"/>
      <x:c r="J53" s="18"/>
      <x:c r="K53" s="18"/>
    </x:row>
    <x:row r="54">
      <x:c r="A54" s="14" t="str">
        <x:v>Market comparison qualification</x:v>
      </x:c>
      <x:c r="B54" s="18" t="str">
        <x:v>This is a terminal cash-flow inversion at selected WACC and growth, NOT an observed market FCFF forecast.</x:v>
      </x:c>
      <x:c r="C54" s="18"/>
      <x:c r="D54" s="18"/>
      <x:c r="E54" s="18"/>
      <x:c r="F54" s="18"/>
      <x:c r="G54" s="18"/>
      <x:c r="H54" s="18"/>
      <x:c r="I54" s="18"/>
      <x:c r="J54" s="18"/>
      <x:c r="K54" s="18"/>
    </x:row>
    <x:row r="55">
      <x:c r="A55" s="14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</x:row>
  </x:sheetData>
  <x:pageMargins left="0.7" right="0.7" top="0.75" bottom="0.75" header="0.3" footer="0.3"/>
</x:worksheet>
</file>